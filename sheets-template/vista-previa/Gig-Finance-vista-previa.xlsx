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uración" sheetId="2" state="visible" r:id="rId2"/>
    <sheet name="Marzo 2026" sheetId="3" state="visible" r:id="rId3"/>
    <sheet name="Plan de pago de deu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&quot;%&quot;"/>
    <numFmt numFmtId="166" formatCode="yyyy-mm-dd"/>
    <numFmt numFmtId="167" formatCode="dd/mm/yyyy"/>
    <numFmt numFmtId="168" formatCode="0&quot;%&quot;"/>
  </numFmts>
  <fonts count="29">
    <font>
      <name val="Calibri"/>
      <family val="2"/>
      <color theme="1"/>
      <sz val="11"/>
      <scheme val="minor"/>
    </font>
    <font>
      <name val="Arial"/>
      <color rgb="000F2547"/>
      <sz val="10"/>
    </font>
    <font>
      <name val="Arial"/>
      <b val="1"/>
      <color rgb="000F2547"/>
      <sz val="20"/>
    </font>
    <font>
      <name val="Arial"/>
      <b val="1"/>
      <color rgb="007A4B00"/>
      <sz val="10"/>
    </font>
    <font>
      <name val="Arial"/>
      <b val="1"/>
      <color rgb="002563EB"/>
      <sz val="13"/>
    </font>
    <font>
      <name val="Arial"/>
      <b val="1"/>
      <color rgb="000F2547"/>
      <sz val="10"/>
    </font>
    <font>
      <name val="Arial"/>
      <i val="1"/>
      <color rgb="006B7F9E"/>
      <sz val="10"/>
    </font>
    <font>
      <name val="Arial"/>
      <b val="1"/>
      <color rgb="000F2547"/>
      <sz val="18"/>
    </font>
    <font>
      <name val="Arial"/>
      <color rgb="006B7F9E"/>
      <sz val="10"/>
    </font>
    <font>
      <name val="Arial"/>
      <b val="1"/>
      <color rgb="002563EB"/>
      <sz val="12"/>
    </font>
    <font>
      <name val="Arial"/>
      <b val="1"/>
      <color rgb="00FFFFFF"/>
      <sz val="9"/>
    </font>
    <font>
      <name val="Arial"/>
      <b val="1"/>
      <color rgb="002563EB"/>
      <sz val="10"/>
    </font>
    <font>
      <name val="Arial"/>
      <b val="1"/>
      <color rgb="002563EB"/>
      <sz val="11"/>
    </font>
    <font>
      <name val="Arial"/>
      <b val="1"/>
      <color rgb="006B7F9E"/>
      <sz val="8"/>
    </font>
    <font>
      <name val="Arial"/>
      <b val="1"/>
      <color rgb="000D9488"/>
      <sz val="15"/>
    </font>
    <font>
      <name val="Arial"/>
      <b val="1"/>
      <color rgb="000F2547"/>
      <sz val="15"/>
    </font>
    <font>
      <name val="Arial"/>
      <b val="1"/>
      <color rgb="002563EB"/>
      <sz val="15"/>
    </font>
    <font>
      <name val="Arial"/>
      <b val="1"/>
      <color rgb="000F2547"/>
      <sz val="12"/>
    </font>
    <font>
      <name val="Arial"/>
      <b val="1"/>
      <color rgb="0016A34A"/>
      <sz val="19"/>
    </font>
    <font>
      <name val="Arial"/>
      <b val="1"/>
      <color rgb="00F59E0B"/>
      <sz val="15"/>
    </font>
    <font>
      <name val="Arial"/>
      <b val="1"/>
      <color rgb="000F2547"/>
      <sz val="11"/>
    </font>
    <font>
      <name val="Arial"/>
      <b val="1"/>
      <color rgb="0016A34A"/>
      <sz val="12"/>
    </font>
    <font>
      <name val="Arial"/>
      <color rgb="006B7F9E"/>
      <sz val="9"/>
    </font>
    <font>
      <name val="Arial"/>
      <b val="1"/>
      <color rgb="0016A34A"/>
      <sz val="11"/>
    </font>
    <font>
      <name val="Arial"/>
      <b val="1"/>
      <color rgb="00FFFFFF"/>
      <sz val="10"/>
    </font>
    <font>
      <name val="Arial"/>
      <b val="1"/>
      <color rgb="002563EB"/>
      <sz val="14"/>
    </font>
    <font>
      <name val="Arial"/>
      <b val="1"/>
      <color rgb="00DC2626"/>
      <sz val="14"/>
    </font>
    <font>
      <name val="Arial"/>
      <b val="1"/>
      <color rgb="000F2547"/>
      <sz val="14"/>
    </font>
    <font>
      <name val="Arial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EEF3F9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0F2547"/>
      </patternFill>
    </fill>
    <fill>
      <patternFill patternType="solid">
        <fgColor rgb="00FFF8E1"/>
      </patternFill>
    </fill>
    <fill>
      <patternFill patternType="solid">
        <fgColor rgb="00F5F8FC"/>
      </patternFill>
    </fill>
    <fill>
      <patternFill patternType="solid">
        <fgColor rgb="002563EB"/>
      </patternFill>
    </fill>
  </fills>
  <borders count="9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  <border>
      <left/>
      <right/>
      <top style="thin">
        <color rgb="00D7E0EC"/>
      </top>
      <bottom/>
      <diagonal/>
    </border>
    <border>
      <left style="thin">
        <color rgb="00D7E0EC"/>
      </left>
      <right/>
      <top/>
      <bottom/>
      <diagonal/>
    </border>
    <border>
      <left/>
      <right style="thin">
        <color rgb="00D7E0EC"/>
      </right>
      <top style="thin">
        <color rgb="00D7E0EC"/>
      </top>
      <bottom/>
      <diagonal/>
    </border>
    <border>
      <left/>
      <right style="thin">
        <color rgb="00D7E0EC"/>
      </right>
      <top/>
      <bottom/>
      <diagonal/>
    </border>
    <border>
      <left style="thin">
        <color rgb="00D7E0EC"/>
      </left>
      <right/>
      <top/>
      <bottom style="thin">
        <color rgb="00D7E0EC"/>
      </bottom>
      <diagonal/>
    </border>
    <border>
      <left/>
      <right/>
      <top/>
      <bottom style="thin">
        <color rgb="00D7E0EC"/>
      </bottom>
      <diagonal/>
    </border>
    <border>
      <left/>
      <right style="thin">
        <color rgb="00D7E0EC"/>
      </right>
      <top/>
      <bottom style="thin">
        <color rgb="00D7E0E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0" applyAlignment="1" pivotButton="0" quotePrefix="0" xfId="0">
      <alignment vertical="center"/>
    </xf>
    <xf numFmtId="0" fontId="1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164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164" fontId="11" fillId="2" borderId="0" applyAlignment="1" pivotButton="0" quotePrefix="0" xfId="0">
      <alignment vertical="center"/>
    </xf>
    <xf numFmtId="165" fontId="1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164" fontId="1" fillId="7" borderId="1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4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9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1" fontId="15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167" fontId="1" fillId="6" borderId="1" applyAlignment="1" pivotButton="0" quotePrefix="0" xfId="0">
      <alignment vertical="center"/>
    </xf>
    <xf numFmtId="0" fontId="2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8" fontId="1" fillId="7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1" fontId="25" fillId="7" borderId="1" applyAlignment="1" pivotButton="0" quotePrefix="0" xfId="0">
      <alignment vertical="center"/>
    </xf>
    <xf numFmtId="164" fontId="26" fillId="7" borderId="1" applyAlignment="1" pivotButton="0" quotePrefix="0" xfId="0">
      <alignment vertical="center"/>
    </xf>
    <xf numFmtId="167" fontId="27" fillId="7" borderId="1" applyAlignment="1" pivotButton="0" quotePrefix="0" xfId="0">
      <alignment vertical="center"/>
    </xf>
    <xf numFmtId="0" fontId="28" fillId="4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color rgb="0016A34A"/>
      </font>
      <fill>
        <patternFill patternType="solid">
          <fgColor rgb="00DCF5E3"/>
        </patternFill>
      </fill>
    </dxf>
    <dxf>
      <font>
        <name val="Arial"/>
        <b val="1"/>
        <color rgb="00DC2626"/>
      </font>
    </dxf>
    <dxf>
      <font>
        <name val="Arial"/>
        <b val="1"/>
        <color rgb="0016A34A"/>
      </font>
    </dxf>
    <dxf>
      <font>
        <name val="Arial"/>
        <b val="1"/>
        <color rgb="00F59E0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categoría</a:t>
            </a:r>
          </a:p>
        </rich>
      </tx>
    </title>
    <plotArea>
      <doughnutChart>
        <varyColors val="1"/>
        <ser>
          <idx val="0"/>
          <order val="0"/>
          <tx>
            <strRef>
              <f>'Marzo 2026'!AU1</f>
            </strRef>
          </tx>
          <spPr>
            <a:ln>
              <a:prstDash val="solid"/>
            </a:ln>
          </spPr>
          <cat>
            <numRef>
              <f>'Marzo 2026'!$AT$2:$AT$7</f>
            </numRef>
          </cat>
          <val>
            <numRef>
              <f>'Marzo 2026'!$AU$2:$AU$7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29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2" customHeight="1">
      <c r="A2" s="1" t="n"/>
      <c r="B2" s="2" t="inlineStr">
        <is>
          <t>💰  Gig Finance — Presupuesto para trabajadores gig</t>
        </is>
      </c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30" customHeight="1">
      <c r="A4" s="1" t="n"/>
      <c r="B4" s="3" t="inlineStr">
        <is>
          <t>⚠️  ESTO ES UNA VISTA PREVIA.  Sirve para ver el diseño y navegar la plantilla, no para usarla de verdad.
La plantilla real es un archivo nativo de Google Sheets con automatizaciones. Abajo dice cómo generarla.</t>
        </is>
      </c>
      <c r="C4" s="4" t="n"/>
      <c r="D4" s="4" t="n"/>
      <c r="E4" s="4" t="n"/>
      <c r="F4" s="4" t="n"/>
      <c r="G4" s="4" t="n"/>
      <c r="H4" s="5" t="n"/>
      <c r="I4" s="1" t="n"/>
    </row>
    <row r="5" ht="30" customHeight="1">
      <c r="A5" s="1" t="n"/>
      <c r="B5" s="6" t="n"/>
      <c r="C5" s="7" t="n"/>
      <c r="D5" s="7" t="n"/>
      <c r="E5" s="7" t="n"/>
      <c r="F5" s="7" t="n"/>
      <c r="G5" s="7" t="n"/>
      <c r="H5" s="8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0" customHeight="1">
      <c r="A8" s="1" t="n"/>
      <c r="B8" s="9" t="inlineStr">
        <is>
          <t>Qué SÍ funciona en esta vista previa</t>
        </is>
      </c>
      <c r="I8" s="1" t="n"/>
    </row>
    <row r="9" ht="28" customHeight="1">
      <c r="A9" s="1" t="n"/>
      <c r="B9" s="10" t="inlineStr">
        <is>
          <t>▸   El diseño completo, las cuatro pestañas y los datos de ejemplo de un mes real.</t>
        </is>
      </c>
      <c r="I9" s="1" t="n"/>
    </row>
    <row r="10" ht="41" customHeight="1">
      <c r="A10" s="1" t="n"/>
      <c r="B10" s="10" t="inlineStr">
        <is>
          <t>▸   Los totales, el gasto por categoría, las barras de presupuesto y el prorrateo de gastos recurrentes: son fórmulas de verdad y se recalculan si cambias los datos.</t>
        </is>
      </c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30" customHeight="1">
      <c r="A12" s="1" t="n"/>
      <c r="B12" s="9" t="inlineStr">
        <is>
          <t>Qué NO funciona aquí (y sí en la plantilla real)</t>
        </is>
      </c>
      <c r="I12" s="1" t="n"/>
    </row>
    <row r="13" ht="41" customHeight="1">
      <c r="A13" s="1" t="n"/>
      <c r="B13" s="10" t="inlineStr">
        <is>
          <t>▸   Marcar un pago y que el gasto se registre solo. Necesita Apps Script, que un archivo subido a Drive no puede llevar.</t>
        </is>
      </c>
      <c r="I13" s="1" t="n"/>
    </row>
    <row r="14" ht="28" customHeight="1">
      <c r="A14" s="1" t="n"/>
      <c r="B14" s="10" t="inlineStr">
        <is>
          <t>▸   Las casillas de verificación reales. Aquí se ven como una ✔ escrita a mano.</t>
        </is>
      </c>
      <c r="I14" s="1" t="n"/>
    </row>
    <row r="15" ht="41" customHeight="1">
      <c r="A15" s="1" t="n"/>
      <c r="B15" s="10" t="inlineStr">
        <is>
          <t>▸   La meta diaria calculada al vuelo. Aquí es un número fijo de ejemplo; en la plantilla real se recalcula sola al marcar días o pagos.</t>
        </is>
      </c>
      <c r="I15" s="1" t="n"/>
    </row>
    <row r="16" ht="28" customHeight="1">
      <c r="A16" s="1" t="n"/>
      <c r="B16" s="10" t="inlineStr">
        <is>
          <t>▸   La lista de pagos que se arma y se ordena sola desde Configuración.</t>
        </is>
      </c>
      <c r="I16" s="1" t="n"/>
    </row>
    <row r="17" ht="28" customHeight="1">
      <c r="A17" s="1" t="n"/>
      <c r="B17" s="10" t="inlineStr">
        <is>
          <t>▸   El menú «Gig Finance» para crear el mes siguiente en dos clics.</t>
        </is>
      </c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30" customHeight="1">
      <c r="A19" s="1" t="n"/>
      <c r="B19" s="9" t="inlineStr">
        <is>
          <t>Cómo generar la plantilla real (unos 5 minutos)</t>
        </is>
      </c>
      <c r="I19" s="1" t="n"/>
    </row>
    <row r="20" ht="28" customHeight="1">
      <c r="A20" s="1" t="n"/>
      <c r="B20" s="10" t="inlineStr">
        <is>
          <t>1.  Entra a sheets.google.com y crea una hoja de cálculo nueva y vacía.</t>
        </is>
      </c>
      <c r="I20" s="1" t="n"/>
    </row>
    <row r="21" ht="28" customHeight="1">
      <c r="A21" s="1" t="n"/>
      <c r="B21" s="10" t="inlineStr">
        <is>
          <t>2.  Menú Extensiones ▸ Apps Script.</t>
        </is>
      </c>
      <c r="I21" s="1" t="n"/>
    </row>
    <row r="22" ht="41" customHeight="1">
      <c r="A22" s="1" t="n"/>
      <c r="B22" s="10" t="inlineStr">
        <is>
          <t>3.  Copia ahí los archivos .gs de la carpeta apps-script del repositorio, uno por archivo, con el mismo nombre.</t>
        </is>
      </c>
      <c r="I22" s="1" t="n"/>
    </row>
    <row r="23" ht="41" customHeight="1">
      <c r="A23" s="1" t="n"/>
      <c r="B23" s="10" t="inlineStr">
        <is>
          <t>4.  Arriba, elige la función «construirPlantilla» y dale ▶ Ejecutar. Autoriza cuando Google lo pida.</t>
        </is>
      </c>
      <c r="I23" s="1" t="n"/>
    </row>
    <row r="24" ht="28" customHeight="1">
      <c r="A24" s="1" t="n"/>
      <c r="B24" s="10" t="inlineStr">
        <is>
          <t>5.  Vuelve a la hoja: ya está todo armado, con formato y protegido.</t>
        </is>
      </c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30" customHeight="1">
      <c r="A26" s="1" t="n"/>
      <c r="B26" s="9" t="inlineStr">
        <is>
          <t>Las cuatro pestañas</t>
        </is>
      </c>
      <c r="I26" s="1" t="n"/>
    </row>
    <row r="27" ht="41" customHeight="1">
      <c r="A27" s="1" t="n"/>
      <c r="B27" s="11" t="inlineStr">
        <is>
          <t>Configuración</t>
        </is>
      </c>
      <c r="C27" s="10" t="inlineStr">
        <is>
          <t>Lo que no cambia mes a mes: pagos fijos, tarjetas, gastos recurrentes, categorías con presupuesto y plataformas. Se llena una vez.</t>
        </is>
      </c>
      <c r="I27" s="1" t="n"/>
    </row>
    <row r="28" ht="54" customHeight="1">
      <c r="A28" s="1" t="n"/>
      <c r="B28" s="11" t="inlineStr">
        <is>
          <t>Marzo 2026</t>
        </is>
      </c>
      <c r="C28" s="10" t="inlineStr">
        <is>
          <t>Ejemplo de una hoja de mes: registro de movimientos, pagos del mes, calendario de trabajo y panel de resumen. En la plantilla real se llama «MES – plantilla» y se duplica cada mes.</t>
        </is>
      </c>
      <c r="I28" s="1" t="n"/>
    </row>
    <row r="29" ht="28" customHeight="1">
      <c r="A29" s="1" t="n"/>
      <c r="B29" s="11" t="inlineStr">
        <is>
          <t>Plan de pago de deudas</t>
        </is>
      </c>
      <c r="C29" s="10" t="inlineStr">
        <is>
          <t>Calculadora de bola de nieve / avalancha. No depende del mes.</t>
        </is>
      </c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30" customHeight="1">
      <c r="A31" s="1" t="n"/>
      <c r="B31" s="9" t="inlineStr">
        <is>
          <t>Cómo se calcula la meta diaria</t>
        </is>
      </c>
      <c r="I31" s="1" t="n"/>
    </row>
    <row r="32" ht="54" customHeight="1">
      <c r="A32" s="1" t="n"/>
      <c r="B32" s="10" t="inlineStr">
        <is>
          <t>▸   No se reparte parejo entre los días del mes. Se busca el vencimiento más exigente y se calcula el ritmo necesario para llegar a ése; cumpliendo ese ritmo, los demás vencimientos salen solos.</t>
        </is>
      </c>
      <c r="I32" s="1" t="n"/>
    </row>
    <row r="33" ht="54" customHeight="1">
      <c r="A33" s="1" t="n"/>
      <c r="B33" s="10" t="inlineStr">
        <is>
          <t>▸   Un pago vencido y sin marcar cuenta como que vence HOY: urgencia máxima. Y si un vencimiento no tiene ningún día de trabajo marcado antes de su fecha, la plantilla avisa «EN RIESGO» con el nombre y la fecha.</t>
        </is>
      </c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30" customHeight="1">
      <c r="A35" s="1" t="n"/>
      <c r="B35" s="9" t="inlineStr">
        <is>
          <t>Mini-glosario</t>
        </is>
      </c>
      <c r="I35" s="1" t="n"/>
    </row>
    <row r="36" ht="41" customHeight="1">
      <c r="A36" s="1" t="n"/>
      <c r="B36" s="11" t="inlineStr">
        <is>
          <t>Meta diaria</t>
        </is>
      </c>
      <c r="C36" s="10" t="inlineStr">
        <is>
          <t>Lo que necesitas generar cada día que trabajes para llegar al vencimiento más apretado que tienes por delante.</t>
        </is>
      </c>
      <c r="I36" s="1" t="n"/>
    </row>
    <row r="37" ht="41" customHeight="1">
      <c r="A37" s="1" t="n"/>
      <c r="B37" s="11" t="inlineStr">
        <is>
          <t>Día disponible</t>
        </is>
      </c>
      <c r="C37" s="10" t="inlineStr">
        <is>
          <t>Un día marcado en el calendario, de hoy en adelante, en el que todavía no registraste ingreso.</t>
        </is>
      </c>
      <c r="I37" s="1" t="n"/>
    </row>
    <row r="38" ht="41" customHeight="1">
      <c r="A38" s="1" t="n"/>
      <c r="B38" s="11" t="inlineStr">
        <is>
          <t>Bola de nieve</t>
        </is>
      </c>
      <c r="C38" s="10" t="inlineStr">
        <is>
          <t>Pagar primero la tarjeta con el SALDO MÁS CHICO. Motiva porque ves tarjetas liquidarse rápido.</t>
        </is>
      </c>
      <c r="I38" s="1" t="n"/>
    </row>
    <row r="39" ht="41" customHeight="1">
      <c r="A39" s="1" t="n"/>
      <c r="B39" s="11" t="inlineStr">
        <is>
          <t>Avalancha</t>
        </is>
      </c>
      <c r="C39" s="10" t="inlineStr">
        <is>
          <t>Pagar primero la tarjeta con el INTERÉS MÁS ALTO. Es la que menos intereses cuesta en total.</t>
        </is>
      </c>
      <c r="I39" s="1" t="n"/>
    </row>
    <row r="40" ht="41" customHeight="1">
      <c r="A40" s="1" t="n"/>
      <c r="B40" s="11" t="inlineStr">
        <is>
          <t>Prorratear</t>
        </is>
      </c>
      <c r="C40" s="10" t="inlineStr">
        <is>
          <t>Repartir un gasto frecuente para saber cuánto suma al mes. Diario × días del mes; Semanal × (días ÷ 7); Quincenal × (días ÷ 14).</t>
        </is>
      </c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2" t="inlineStr">
        <is>
          <t>Esta plantilla es una herramienta de organización personal. No es asesoría financiera, contable ni fiscal.</t>
        </is>
      </c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</sheetData>
  <mergeCells count="31">
    <mergeCell ref="B9:H9"/>
    <mergeCell ref="C40:H40"/>
    <mergeCell ref="B24:H24"/>
    <mergeCell ref="B15:H15"/>
    <mergeCell ref="B33:H33"/>
    <mergeCell ref="B20:H20"/>
    <mergeCell ref="B32:H32"/>
    <mergeCell ref="B26:H26"/>
    <mergeCell ref="C36:H36"/>
    <mergeCell ref="C27:H27"/>
    <mergeCell ref="B35:H35"/>
    <mergeCell ref="C39:H39"/>
    <mergeCell ref="B16:H16"/>
    <mergeCell ref="B31:H31"/>
    <mergeCell ref="B22:H22"/>
    <mergeCell ref="C38:H38"/>
    <mergeCell ref="C28:H28"/>
    <mergeCell ref="B21:H21"/>
    <mergeCell ref="C37:H37"/>
    <mergeCell ref="B12:H12"/>
    <mergeCell ref="B2:H2"/>
    <mergeCell ref="B42:H42"/>
    <mergeCell ref="B23:H23"/>
    <mergeCell ref="B8:H8"/>
    <mergeCell ref="B14:H14"/>
    <mergeCell ref="B17:H17"/>
    <mergeCell ref="B13:H13"/>
    <mergeCell ref="B4:H5"/>
    <mergeCell ref="B10:H10"/>
    <mergeCell ref="B19:H19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7" customWidth="1" min="3" max="3"/>
    <col width="25" customWidth="1" min="4" max="4"/>
    <col width="17" customWidth="1" min="5" max="5"/>
    <col width="22" customWidth="1" min="6" max="6"/>
    <col width="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0" customHeight="1">
      <c r="A2" s="1" t="n"/>
      <c r="B2" s="13" t="inlineStr">
        <is>
          <t>⚙️  Configuración</t>
        </is>
      </c>
      <c r="G2" s="1" t="n"/>
      <c r="H2" s="1" t="n"/>
    </row>
    <row r="3">
      <c r="A3" s="1" t="n"/>
      <c r="B3" s="14" t="inlineStr">
        <is>
          <t>Se llena una sola vez. Las celdas amarillas son tuyas; todo lo demás se calcula solo.</t>
        </is>
      </c>
      <c r="G3" s="1" t="n"/>
      <c r="H3" s="1" t="n"/>
    </row>
    <row r="4" ht="26" customHeight="1">
      <c r="A4" s="1" t="n"/>
      <c r="B4" s="15" t="inlineStr">
        <is>
          <t>1 · Pagos fijos del mes</t>
        </is>
      </c>
      <c r="G4" s="1" t="n"/>
      <c r="H4" s="1" t="n"/>
    </row>
    <row r="5" ht="32" customHeight="1">
      <c r="A5" s="1" t="n"/>
      <c r="B5" s="16" t="inlineStr">
        <is>
          <t>Nombre del pago</t>
        </is>
      </c>
      <c r="C5" s="16" t="inlineStr">
        <is>
          <t>Monto</t>
        </is>
      </c>
      <c r="D5" s="16" t="inlineStr">
        <is>
          <t>Día de vencimiento (1-31)</t>
        </is>
      </c>
      <c r="E5" s="1" t="n"/>
      <c r="F5" s="1" t="n"/>
      <c r="G5" s="1" t="n"/>
      <c r="H5" s="1" t="n"/>
    </row>
    <row r="6">
      <c r="A6" s="1" t="n"/>
      <c r="B6" s="17" t="inlineStr">
        <is>
          <t>Renta</t>
        </is>
      </c>
      <c r="C6" s="18" t="n">
        <v>1200</v>
      </c>
      <c r="D6" s="19" t="n">
        <v>5</v>
      </c>
      <c r="E6" s="1" t="n"/>
      <c r="F6" s="1" t="n"/>
      <c r="G6" s="1" t="n"/>
      <c r="H6" s="1" t="n"/>
    </row>
    <row r="7">
      <c r="A7" s="1" t="n"/>
      <c r="B7" s="17" t="inlineStr">
        <is>
          <t>Seguro del carro</t>
        </is>
      </c>
      <c r="C7" s="18" t="n">
        <v>140</v>
      </c>
      <c r="D7" s="19" t="n">
        <v>8</v>
      </c>
      <c r="E7" s="1" t="n"/>
      <c r="F7" s="1" t="n"/>
      <c r="G7" s="1" t="n"/>
      <c r="H7" s="1" t="n"/>
    </row>
    <row r="8">
      <c r="A8" s="1" t="n"/>
      <c r="B8" s="17" t="inlineStr">
        <is>
          <t>Luz</t>
        </is>
      </c>
      <c r="C8" s="18" t="n">
        <v>85</v>
      </c>
      <c r="D8" s="19" t="n">
        <v>12</v>
      </c>
      <c r="E8" s="1" t="n"/>
      <c r="F8" s="1" t="n"/>
      <c r="G8" s="1" t="n"/>
      <c r="H8" s="1" t="n"/>
    </row>
    <row r="9">
      <c r="A9" s="1" t="n"/>
      <c r="B9" s="17" t="inlineStr">
        <is>
          <t>Internet</t>
        </is>
      </c>
      <c r="C9" s="18" t="n">
        <v>60</v>
      </c>
      <c r="D9" s="19" t="n">
        <v>15</v>
      </c>
      <c r="E9" s="1" t="n"/>
      <c r="F9" s="1" t="n"/>
      <c r="G9" s="1" t="n"/>
      <c r="H9" s="1" t="n"/>
    </row>
    <row r="10">
      <c r="A10" s="1" t="n"/>
      <c r="B10" s="17" t="inlineStr">
        <is>
          <t>Celular</t>
        </is>
      </c>
      <c r="C10" s="18" t="n">
        <v>45</v>
      </c>
      <c r="D10" s="19" t="n">
        <v>20</v>
      </c>
      <c r="E10" s="1" t="n"/>
      <c r="F10" s="1" t="n"/>
      <c r="G10" s="1" t="n"/>
      <c r="H10" s="1" t="n"/>
    </row>
    <row r="11">
      <c r="A11" s="1" t="n"/>
      <c r="B11" s="17" t="n"/>
      <c r="C11" s="18" t="n"/>
      <c r="D11" s="19" t="n"/>
      <c r="E11" s="1" t="n"/>
      <c r="F11" s="1" t="n"/>
      <c r="G11" s="1" t="n"/>
      <c r="H11" s="1" t="n"/>
    </row>
    <row r="12">
      <c r="A12" s="1" t="n"/>
      <c r="B12" s="17" t="n"/>
      <c r="C12" s="18" t="n"/>
      <c r="D12" s="19" t="n"/>
      <c r="E12" s="1" t="n"/>
      <c r="F12" s="1" t="n"/>
      <c r="G12" s="1" t="n"/>
      <c r="H12" s="1" t="n"/>
    </row>
    <row r="13">
      <c r="A13" s="1" t="n"/>
      <c r="B13" s="17" t="n"/>
      <c r="C13" s="18" t="n"/>
      <c r="D13" s="19" t="n"/>
      <c r="E13" s="1" t="n"/>
      <c r="F13" s="1" t="n"/>
      <c r="G13" s="1" t="n"/>
      <c r="H13" s="1" t="n"/>
    </row>
    <row r="14">
      <c r="A14" s="1" t="n"/>
      <c r="B14" s="17" t="n"/>
      <c r="C14" s="18" t="n"/>
      <c r="D14" s="19" t="n"/>
      <c r="E14" s="1" t="n"/>
      <c r="F14" s="1" t="n"/>
      <c r="G14" s="1" t="n"/>
      <c r="H14" s="1" t="n"/>
    </row>
    <row r="15">
      <c r="A15" s="1" t="n"/>
      <c r="B15" s="17" t="n"/>
      <c r="C15" s="18" t="n"/>
      <c r="D15" s="19" t="n"/>
      <c r="E15" s="1" t="n"/>
      <c r="F15" s="1" t="n"/>
      <c r="G15" s="1" t="n"/>
      <c r="H15" s="1" t="n"/>
    </row>
    <row r="16">
      <c r="A16" s="1" t="n"/>
      <c r="B16" s="17" t="n"/>
      <c r="C16" s="18" t="n"/>
      <c r="D16" s="19" t="n"/>
      <c r="E16" s="1" t="n"/>
      <c r="F16" s="1" t="n"/>
      <c r="G16" s="1" t="n"/>
      <c r="H16" s="1" t="n"/>
    </row>
    <row r="17">
      <c r="A17" s="1" t="n"/>
      <c r="B17" s="17" t="n"/>
      <c r="C17" s="18" t="n"/>
      <c r="D17" s="19" t="n"/>
      <c r="E17" s="1" t="n"/>
      <c r="F17" s="1" t="n"/>
      <c r="G17" s="1" t="n"/>
      <c r="H17" s="1" t="n"/>
    </row>
    <row r="18">
      <c r="A18" s="1" t="n"/>
      <c r="B18" s="17" t="n"/>
      <c r="C18" s="18" t="n"/>
      <c r="D18" s="19" t="n"/>
      <c r="E18" s="1" t="n"/>
      <c r="F18" s="1" t="n"/>
      <c r="G18" s="1" t="n"/>
      <c r="H18" s="1" t="n"/>
    </row>
    <row r="19">
      <c r="A19" s="1" t="n"/>
      <c r="B19" s="17" t="n"/>
      <c r="C19" s="18" t="n"/>
      <c r="D19" s="19" t="n"/>
      <c r="E19" s="1" t="n"/>
      <c r="F19" s="1" t="n"/>
      <c r="G19" s="1" t="n"/>
      <c r="H19" s="1" t="n"/>
    </row>
    <row r="20">
      <c r="A20" s="1" t="n"/>
      <c r="B20" s="17" t="n"/>
      <c r="C20" s="18" t="n"/>
      <c r="D20" s="19" t="n"/>
      <c r="E20" s="1" t="n"/>
      <c r="F20" s="1" t="n"/>
      <c r="G20" s="1" t="n"/>
      <c r="H20" s="1" t="n"/>
    </row>
    <row r="21">
      <c r="A21" s="1" t="n"/>
      <c r="B21" s="17" t="n"/>
      <c r="C21" s="18" t="n"/>
      <c r="D21" s="19" t="n"/>
      <c r="E21" s="1" t="n"/>
      <c r="F21" s="1" t="n"/>
      <c r="G21" s="1" t="n"/>
      <c r="H21" s="1" t="n"/>
    </row>
    <row r="22">
      <c r="A22" s="1" t="n"/>
      <c r="B22" s="17" t="n"/>
      <c r="C22" s="18" t="n"/>
      <c r="D22" s="19" t="n"/>
      <c r="E22" s="1" t="n"/>
      <c r="F22" s="1" t="n"/>
      <c r="G22" s="1" t="n"/>
      <c r="H22" s="1" t="n"/>
    </row>
    <row r="23">
      <c r="A23" s="1" t="n"/>
      <c r="B23" s="17" t="n"/>
      <c r="C23" s="18" t="n"/>
      <c r="D23" s="19" t="n"/>
      <c r="E23" s="1" t="n"/>
      <c r="F23" s="1" t="n"/>
      <c r="G23" s="1" t="n"/>
      <c r="H23" s="1" t="n"/>
    </row>
    <row r="24">
      <c r="A24" s="1" t="n"/>
      <c r="B24" s="17" t="n"/>
      <c r="C24" s="18" t="n"/>
      <c r="D24" s="19" t="n"/>
      <c r="E24" s="1" t="n"/>
      <c r="F24" s="1" t="n"/>
      <c r="G24" s="1" t="n"/>
      <c r="H24" s="1" t="n"/>
    </row>
    <row r="25">
      <c r="A25" s="1" t="n"/>
      <c r="B25" s="17" t="n"/>
      <c r="C25" s="18" t="n"/>
      <c r="D25" s="19" t="n"/>
      <c r="E25" s="1" t="n"/>
      <c r="F25" s="1" t="n"/>
      <c r="G25" s="1" t="n"/>
      <c r="H25" s="1" t="n"/>
    </row>
    <row r="26">
      <c r="A26" s="1" t="n"/>
      <c r="B26" s="20" t="inlineStr">
        <is>
          <t>Total mensual de pagos fijos:</t>
        </is>
      </c>
      <c r="C26" s="21">
        <f>SUM(C6:C25)</f>
        <v>1530.0</v>
      </c>
      <c r="D26" s="1" t="n"/>
      <c r="E26" s="1" t="n"/>
      <c r="F26" s="1" t="n"/>
      <c r="G26" s="1" t="n"/>
      <c r="H26" s="1" t="n"/>
    </row>
    <row r="27" ht="26" customHeight="1">
      <c r="A27" s="1" t="n"/>
      <c r="B27" s="15" t="inlineStr">
        <is>
          <t>2 · Tarjetas de crédito</t>
        </is>
      </c>
      <c r="G27" s="1" t="n"/>
      <c r="H27" s="1" t="n"/>
    </row>
    <row r="28" ht="32" customHeight="1">
      <c r="A28" s="1" t="n"/>
      <c r="B28" s="16" t="inlineStr">
        <is>
          <t>Nombre de la tarjeta</t>
        </is>
      </c>
      <c r="C28" s="16" t="inlineStr">
        <is>
          <t>Saldo actual</t>
        </is>
      </c>
      <c r="D28" s="16" t="inlineStr">
        <is>
          <t>Tasa de interés anual (APR %)</t>
        </is>
      </c>
      <c r="E28" s="16" t="inlineStr">
        <is>
          <t>Pago mínimo</t>
        </is>
      </c>
      <c r="F28" s="16" t="inlineStr">
        <is>
          <t>Día de vencimiento (1-31)</t>
        </is>
      </c>
      <c r="G28" s="1" t="n"/>
      <c r="H28" s="1" t="n"/>
    </row>
    <row r="29">
      <c r="A29" s="1" t="n"/>
      <c r="B29" s="17" t="inlineStr">
        <is>
          <t>Visa</t>
        </is>
      </c>
      <c r="C29" s="18" t="n">
        <v>2400</v>
      </c>
      <c r="D29" s="22" t="n">
        <v>24.99</v>
      </c>
      <c r="E29" s="18" t="n">
        <v>75</v>
      </c>
      <c r="F29" s="19" t="n">
        <v>12</v>
      </c>
      <c r="G29" s="1" t="n"/>
      <c r="H29" s="1" t="n"/>
    </row>
    <row r="30">
      <c r="A30" s="1" t="n"/>
      <c r="B30" s="17" t="inlineStr">
        <is>
          <t>Capital One</t>
        </is>
      </c>
      <c r="C30" s="18" t="n">
        <v>850</v>
      </c>
      <c r="D30" s="22" t="n">
        <v>29.99</v>
      </c>
      <c r="E30" s="18" t="n">
        <v>35</v>
      </c>
      <c r="F30" s="19" t="n">
        <v>22</v>
      </c>
      <c r="G30" s="1" t="n"/>
      <c r="H30" s="1" t="n"/>
    </row>
    <row r="31">
      <c r="A31" s="1" t="n"/>
      <c r="B31" s="17" t="n"/>
      <c r="C31" s="18" t="n"/>
      <c r="D31" s="22" t="n"/>
      <c r="E31" s="18" t="n"/>
      <c r="F31" s="19" t="n"/>
      <c r="G31" s="1" t="n"/>
      <c r="H31" s="1" t="n"/>
    </row>
    <row r="32">
      <c r="A32" s="1" t="n"/>
      <c r="B32" s="17" t="n"/>
      <c r="C32" s="18" t="n"/>
      <c r="D32" s="22" t="n"/>
      <c r="E32" s="18" t="n"/>
      <c r="F32" s="19" t="n"/>
      <c r="G32" s="1" t="n"/>
      <c r="H32" s="1" t="n"/>
    </row>
    <row r="33">
      <c r="A33" s="1" t="n"/>
      <c r="B33" s="17" t="n"/>
      <c r="C33" s="18" t="n"/>
      <c r="D33" s="22" t="n"/>
      <c r="E33" s="18" t="n"/>
      <c r="F33" s="19" t="n"/>
      <c r="G33" s="1" t="n"/>
      <c r="H33" s="1" t="n"/>
    </row>
    <row r="34">
      <c r="A34" s="1" t="n"/>
      <c r="B34" s="17" t="n"/>
      <c r="C34" s="18" t="n"/>
      <c r="D34" s="22" t="n"/>
      <c r="E34" s="18" t="n"/>
      <c r="F34" s="19" t="n"/>
      <c r="G34" s="1" t="n"/>
      <c r="H34" s="1" t="n"/>
    </row>
    <row r="35">
      <c r="A35" s="1" t="n"/>
      <c r="B35" s="17" t="n"/>
      <c r="C35" s="18" t="n"/>
      <c r="D35" s="22" t="n"/>
      <c r="E35" s="18" t="n"/>
      <c r="F35" s="19" t="n"/>
      <c r="G35" s="1" t="n"/>
      <c r="H35" s="1" t="n"/>
    </row>
    <row r="36">
      <c r="A36" s="1" t="n"/>
      <c r="B36" s="17" t="n"/>
      <c r="C36" s="18" t="n"/>
      <c r="D36" s="22" t="n"/>
      <c r="E36" s="18" t="n"/>
      <c r="F36" s="19" t="n"/>
      <c r="G36" s="1" t="n"/>
      <c r="H36" s="1" t="n"/>
    </row>
    <row r="37">
      <c r="A37" s="1" t="n"/>
      <c r="B37" s="17" t="n"/>
      <c r="C37" s="18" t="n"/>
      <c r="D37" s="22" t="n"/>
      <c r="E37" s="18" t="n"/>
      <c r="F37" s="19" t="n"/>
      <c r="G37" s="1" t="n"/>
      <c r="H37" s="1" t="n"/>
    </row>
    <row r="38">
      <c r="A38" s="1" t="n"/>
      <c r="B38" s="17" t="n"/>
      <c r="C38" s="18" t="n"/>
      <c r="D38" s="22" t="n"/>
      <c r="E38" s="18" t="n"/>
      <c r="F38" s="19" t="n"/>
      <c r="G38" s="1" t="n"/>
      <c r="H38" s="1" t="n"/>
    </row>
    <row r="39">
      <c r="A39" s="1" t="n"/>
      <c r="B39" s="23" t="inlineStr">
        <is>
          <t>El APR se escribe como número: 24.99 significa 24.99 % anual.</t>
        </is>
      </c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26" customHeight="1">
      <c r="A41" s="1" t="n"/>
      <c r="B41" s="15" t="inlineStr">
        <is>
          <t>3 · Gastos recurrentes  (gasolina, comida, datos…)</t>
        </is>
      </c>
      <c r="G41" s="1" t="n"/>
      <c r="H41" s="1" t="n"/>
    </row>
    <row r="42" ht="32" customHeight="1">
      <c r="A42" s="1" t="n"/>
      <c r="B42" s="16" t="inlineStr">
        <is>
          <t>Nombre</t>
        </is>
      </c>
      <c r="C42" s="16" t="inlineStr">
        <is>
          <t>Monto por ocurrencia</t>
        </is>
      </c>
      <c r="D42" s="16" t="inlineStr">
        <is>
          <t>Frecuencia</t>
        </is>
      </c>
      <c r="E42" s="16" t="inlineStr">
        <is>
          <t>Costo mensual aprox.</t>
        </is>
      </c>
      <c r="F42" s="1" t="n"/>
      <c r="G42" s="1" t="n"/>
      <c r="H42" s="1" t="n"/>
    </row>
    <row r="43">
      <c r="A43" s="1" t="n"/>
      <c r="B43" s="17" t="inlineStr">
        <is>
          <t>Gasolina</t>
        </is>
      </c>
      <c r="C43" s="18" t="n">
        <v>28</v>
      </c>
      <c r="D43" s="17" t="inlineStr">
        <is>
          <t>Diario</t>
        </is>
      </c>
      <c r="E43" s="24">
        <f>IF($B43="","",$C43*IF($D43="Diario",30,IF($D43="Semanal",30/7,IF($D43="Quincenal",30/14,0))))</f>
        <v>840.0</v>
      </c>
      <c r="F43" s="1" t="n"/>
      <c r="G43" s="1" t="n"/>
      <c r="H43" s="1" t="n"/>
    </row>
    <row r="44">
      <c r="A44" s="1" t="n"/>
      <c r="B44" s="17" t="inlineStr">
        <is>
          <t>Comida en ruta</t>
        </is>
      </c>
      <c r="C44" s="18" t="n">
        <v>90</v>
      </c>
      <c r="D44" s="17" t="inlineStr">
        <is>
          <t>Semanal</t>
        </is>
      </c>
      <c r="E44" s="24">
        <f>IF($B44="","",$C44*IF($D44="Diario",30,IF($D44="Semanal",30/7,IF($D44="Quincenal",30/14,0))))</f>
        <v>385.71</v>
      </c>
      <c r="F44" s="1" t="n"/>
      <c r="G44" s="1" t="n"/>
      <c r="H44" s="1" t="n"/>
    </row>
    <row r="45">
      <c r="A45" s="1" t="n"/>
      <c r="B45" s="17" t="inlineStr">
        <is>
          <t>Lavado del carro</t>
        </is>
      </c>
      <c r="C45" s="18" t="n">
        <v>25</v>
      </c>
      <c r="D45" s="17" t="inlineStr">
        <is>
          <t>Quincenal</t>
        </is>
      </c>
      <c r="E45" s="24">
        <f>IF($B45="","",$C45*IF($D45="Diario",30,IF($D45="Semanal",30/7,IF($D45="Quincenal",30/14,0))))</f>
        <v>53.57</v>
      </c>
      <c r="F45" s="1" t="n"/>
      <c r="G45" s="1" t="n"/>
      <c r="H45" s="1" t="n"/>
    </row>
    <row r="46">
      <c r="A46" s="1" t="n"/>
      <c r="B46" s="17" t="n"/>
      <c r="C46" s="18" t="n"/>
      <c r="D46" s="17" t="n"/>
      <c r="E46" s="24">
        <f>IF($B46="","",$C46*IF($D46="Diario",30,IF($D46="Semanal",30/7,IF($D46="Quincenal",30/14,0))))</f>
      </c>
      <c r="F46" s="1" t="n"/>
      <c r="G46" s="1" t="n"/>
      <c r="H46" s="1" t="n"/>
    </row>
    <row r="47">
      <c r="A47" s="1" t="n"/>
      <c r="B47" s="17" t="n"/>
      <c r="C47" s="18" t="n"/>
      <c r="D47" s="17" t="n"/>
      <c r="E47" s="24">
        <f>IF($B47="","",$C47*IF($D47="Diario",30,IF($D47="Semanal",30/7,IF($D47="Quincenal",30/14,0))))</f>
      </c>
      <c r="F47" s="1" t="n"/>
      <c r="G47" s="1" t="n"/>
      <c r="H47" s="1" t="n"/>
    </row>
    <row r="48">
      <c r="A48" s="1" t="n"/>
      <c r="B48" s="17" t="n"/>
      <c r="C48" s="18" t="n"/>
      <c r="D48" s="17" t="n"/>
      <c r="E48" s="24">
        <f>IF($B48="","",$C48*IF($D48="Diario",30,IF($D48="Semanal",30/7,IF($D48="Quincenal",30/14,0))))</f>
      </c>
      <c r="F48" s="1" t="n"/>
      <c r="G48" s="1" t="n"/>
      <c r="H48" s="1" t="n"/>
    </row>
    <row r="49">
      <c r="A49" s="1" t="n"/>
      <c r="B49" s="17" t="n"/>
      <c r="C49" s="18" t="n"/>
      <c r="D49" s="17" t="n"/>
      <c r="E49" s="24">
        <f>IF($B49="","",$C49*IF($D49="Diario",30,IF($D49="Semanal",30/7,IF($D49="Quincenal",30/14,0))))</f>
      </c>
      <c r="F49" s="1" t="n"/>
      <c r="G49" s="1" t="n"/>
      <c r="H49" s="1" t="n"/>
    </row>
    <row r="50">
      <c r="A50" s="1" t="n"/>
      <c r="B50" s="17" t="n"/>
      <c r="C50" s="18" t="n"/>
      <c r="D50" s="17" t="n"/>
      <c r="E50" s="24">
        <f>IF($B50="","",$C50*IF($D50="Diario",30,IF($D50="Semanal",30/7,IF($D50="Quincenal",30/14,0))))</f>
      </c>
      <c r="F50" s="1" t="n"/>
      <c r="G50" s="1" t="n"/>
      <c r="H50" s="1" t="n"/>
    </row>
    <row r="51">
      <c r="A51" s="1" t="n"/>
      <c r="B51" s="17" t="n"/>
      <c r="C51" s="18" t="n"/>
      <c r="D51" s="17" t="n"/>
      <c r="E51" s="24">
        <f>IF($B51="","",$C51*IF($D51="Diario",30,IF($D51="Semanal",30/7,IF($D51="Quincenal",30/14,0))))</f>
      </c>
      <c r="F51" s="1" t="n"/>
      <c r="G51" s="1" t="n"/>
      <c r="H51" s="1" t="n"/>
    </row>
    <row r="52">
      <c r="A52" s="1" t="n"/>
      <c r="B52" s="17" t="n"/>
      <c r="C52" s="18" t="n"/>
      <c r="D52" s="17" t="n"/>
      <c r="E52" s="24">
        <f>IF($B52="","",$C52*IF($D52="Diario",30,IF($D52="Semanal",30/7,IF($D52="Quincenal",30/14,0))))</f>
      </c>
      <c r="F52" s="1" t="n"/>
      <c r="G52" s="1" t="n"/>
      <c r="H52" s="1" t="n"/>
    </row>
    <row r="53">
      <c r="A53" s="1" t="n"/>
      <c r="B53" s="23" t="inlineStr">
        <is>
          <t>Aquí se estima sobre 30 días. La hoja del mes usa los días exactos de ese mes.</t>
        </is>
      </c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26" customHeight="1">
      <c r="A55" s="1" t="n"/>
      <c r="B55" s="15" t="inlineStr">
        <is>
          <t>4 · Categorías con presupuesto</t>
        </is>
      </c>
      <c r="G55" s="1" t="n"/>
      <c r="H55" s="1" t="n"/>
    </row>
    <row r="56" ht="32" customHeight="1">
      <c r="A56" s="1" t="n"/>
      <c r="B56" s="16" t="inlineStr">
        <is>
          <t>Categoría</t>
        </is>
      </c>
      <c r="C56" s="16" t="inlineStr">
        <is>
          <t>Presupuesto mensual</t>
        </is>
      </c>
      <c r="D56" s="1" t="n"/>
      <c r="E56" s="1" t="n"/>
      <c r="F56" s="1" t="n"/>
      <c r="G56" s="1" t="n"/>
      <c r="H56" s="1" t="n"/>
    </row>
    <row r="57">
      <c r="A57" s="1" t="n"/>
      <c r="B57" s="17" t="inlineStr">
        <is>
          <t>Gasolina</t>
        </is>
      </c>
      <c r="C57" s="18" t="n">
        <v>900</v>
      </c>
      <c r="D57" s="1" t="n"/>
      <c r="E57" s="1" t="n"/>
      <c r="F57" s="1" t="n"/>
      <c r="G57" s="1" t="n"/>
      <c r="H57" s="1" t="n"/>
    </row>
    <row r="58">
      <c r="A58" s="1" t="n"/>
      <c r="B58" s="17" t="inlineStr">
        <is>
          <t>Comida</t>
        </is>
      </c>
      <c r="C58" s="18" t="n">
        <v>500</v>
      </c>
      <c r="D58" s="1" t="n"/>
      <c r="E58" s="1" t="n"/>
      <c r="F58" s="1" t="n"/>
      <c r="G58" s="1" t="n"/>
      <c r="H58" s="1" t="n"/>
    </row>
    <row r="59">
      <c r="A59" s="1" t="n"/>
      <c r="B59" s="17" t="inlineStr">
        <is>
          <t>Mantenimiento</t>
        </is>
      </c>
      <c r="C59" s="18" t="n">
        <v>200</v>
      </c>
      <c r="D59" s="1" t="n"/>
      <c r="E59" s="1" t="n"/>
      <c r="F59" s="1" t="n"/>
      <c r="G59" s="1" t="n"/>
      <c r="H59" s="1" t="n"/>
    </row>
    <row r="60">
      <c r="A60" s="1" t="n"/>
      <c r="B60" s="17" t="inlineStr">
        <is>
          <t>Personal</t>
        </is>
      </c>
      <c r="C60" s="18" t="n">
        <v>300</v>
      </c>
      <c r="D60" s="1" t="n"/>
      <c r="E60" s="1" t="n"/>
      <c r="F60" s="1" t="n"/>
      <c r="G60" s="1" t="n"/>
      <c r="H60" s="1" t="n"/>
    </row>
    <row r="61">
      <c r="A61" s="1" t="n"/>
      <c r="B61" s="17" t="n"/>
      <c r="C61" s="18" t="n"/>
      <c r="D61" s="1" t="n"/>
      <c r="E61" s="1" t="n"/>
      <c r="F61" s="1" t="n"/>
      <c r="G61" s="1" t="n"/>
      <c r="H61" s="1" t="n"/>
    </row>
    <row r="62">
      <c r="A62" s="1" t="n"/>
      <c r="B62" s="17" t="n"/>
      <c r="C62" s="18" t="n"/>
      <c r="D62" s="1" t="n"/>
      <c r="E62" s="1" t="n"/>
      <c r="F62" s="1" t="n"/>
      <c r="G62" s="1" t="n"/>
      <c r="H62" s="1" t="n"/>
    </row>
    <row r="63">
      <c r="A63" s="1" t="n"/>
      <c r="B63" s="17" t="n"/>
      <c r="C63" s="18" t="n"/>
      <c r="D63" s="1" t="n"/>
      <c r="E63" s="1" t="n"/>
      <c r="F63" s="1" t="n"/>
      <c r="G63" s="1" t="n"/>
      <c r="H63" s="1" t="n"/>
    </row>
    <row r="64">
      <c r="A64" s="1" t="n"/>
      <c r="B64" s="17" t="n"/>
      <c r="C64" s="18" t="n"/>
      <c r="D64" s="1" t="n"/>
      <c r="E64" s="1" t="n"/>
      <c r="F64" s="1" t="n"/>
      <c r="G64" s="1" t="n"/>
      <c r="H64" s="1" t="n"/>
    </row>
    <row r="65">
      <c r="A65" s="1" t="n"/>
      <c r="B65" s="17" t="n"/>
      <c r="C65" s="18" t="n"/>
      <c r="D65" s="1" t="n"/>
      <c r="E65" s="1" t="n"/>
      <c r="F65" s="1" t="n"/>
      <c r="G65" s="1" t="n"/>
      <c r="H65" s="1" t="n"/>
    </row>
    <row r="66">
      <c r="A66" s="1" t="n"/>
      <c r="B66" s="17" t="n"/>
      <c r="C66" s="18" t="n"/>
      <c r="D66" s="1" t="n"/>
      <c r="E66" s="1" t="n"/>
      <c r="F66" s="1" t="n"/>
      <c r="G66" s="1" t="n"/>
      <c r="H66" s="1" t="n"/>
    </row>
    <row r="67">
      <c r="A67" s="1" t="n"/>
      <c r="B67" s="17" t="n"/>
      <c r="C67" s="18" t="n"/>
      <c r="D67" s="1" t="n"/>
      <c r="E67" s="1" t="n"/>
      <c r="F67" s="1" t="n"/>
      <c r="G67" s="1" t="n"/>
      <c r="H67" s="1" t="n"/>
    </row>
    <row r="68">
      <c r="A68" s="1" t="n"/>
      <c r="B68" s="17" t="n"/>
      <c r="C68" s="18" t="n"/>
      <c r="D68" s="1" t="n"/>
      <c r="E68" s="1" t="n"/>
      <c r="F68" s="1" t="n"/>
      <c r="G68" s="1" t="n"/>
      <c r="H68" s="1" t="n"/>
    </row>
    <row r="69">
      <c r="A69" s="1" t="n"/>
      <c r="B69" s="17" t="n"/>
      <c r="C69" s="18" t="n"/>
      <c r="D69" s="1" t="n"/>
      <c r="E69" s="1" t="n"/>
      <c r="F69" s="1" t="n"/>
      <c r="G69" s="1" t="n"/>
      <c r="H69" s="1" t="n"/>
    </row>
    <row r="70">
      <c r="A70" s="1" t="n"/>
      <c r="B70" s="17" t="n"/>
      <c r="C70" s="18" t="n"/>
      <c r="D70" s="1" t="n"/>
      <c r="E70" s="1" t="n"/>
      <c r="F70" s="1" t="n"/>
      <c r="G70" s="1" t="n"/>
      <c r="H70" s="1" t="n"/>
    </row>
    <row r="71">
      <c r="A71" s="1" t="n"/>
      <c r="B71" s="17" t="n"/>
      <c r="C71" s="18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26" customHeight="1">
      <c r="A74" s="1" t="n"/>
      <c r="B74" s="15" t="inlineStr">
        <is>
          <t>5 · Plataformas donde generas ingreso</t>
        </is>
      </c>
      <c r="G74" s="1" t="n"/>
      <c r="H74" s="1" t="n"/>
    </row>
    <row r="75" ht="32" customHeight="1">
      <c r="A75" s="1" t="n"/>
      <c r="B75" s="16" t="inlineStr">
        <is>
          <t>Plataforma</t>
        </is>
      </c>
      <c r="C75" s="1" t="n"/>
      <c r="D75" s="1" t="n"/>
      <c r="E75" s="1" t="n"/>
      <c r="F75" s="1" t="n"/>
      <c r="G75" s="1" t="n"/>
      <c r="H75" s="1" t="n"/>
    </row>
    <row r="76">
      <c r="A76" s="1" t="n"/>
      <c r="B76" s="17" t="inlineStr">
        <is>
          <t>Uber</t>
        </is>
      </c>
      <c r="C76" s="1" t="n"/>
      <c r="D76" s="1" t="n"/>
      <c r="E76" s="1" t="n"/>
      <c r="F76" s="1" t="n"/>
      <c r="G76" s="1" t="n"/>
      <c r="H76" s="1" t="n"/>
    </row>
    <row r="77">
      <c r="A77" s="1" t="n"/>
      <c r="B77" s="17" t="inlineStr">
        <is>
          <t>DoorDash</t>
        </is>
      </c>
      <c r="C77" s="1" t="n"/>
      <c r="D77" s="1" t="n"/>
      <c r="E77" s="1" t="n"/>
      <c r="F77" s="1" t="n"/>
      <c r="G77" s="1" t="n"/>
      <c r="H77" s="1" t="n"/>
    </row>
    <row r="78">
      <c r="A78" s="1" t="n"/>
      <c r="B78" s="17" t="inlineStr">
        <is>
          <t>Instacart</t>
        </is>
      </c>
      <c r="C78" s="1" t="n"/>
      <c r="D78" s="1" t="n"/>
      <c r="E78" s="1" t="n"/>
      <c r="F78" s="1" t="n"/>
      <c r="G78" s="1" t="n"/>
      <c r="H78" s="1" t="n"/>
    </row>
    <row r="79">
      <c r="A79" s="1" t="n"/>
      <c r="B79" s="17" t="inlineStr">
        <is>
          <t>Lyft</t>
        </is>
      </c>
      <c r="C79" s="1" t="n"/>
      <c r="D79" s="1" t="n"/>
      <c r="E79" s="1" t="n"/>
      <c r="F79" s="1" t="n"/>
      <c r="G79" s="1" t="n"/>
      <c r="H79" s="1" t="n"/>
    </row>
    <row r="80">
      <c r="A80" s="1" t="n"/>
      <c r="B80" s="17" t="n"/>
      <c r="C80" s="1" t="n"/>
      <c r="D80" s="1" t="n"/>
      <c r="E80" s="1" t="n"/>
      <c r="F80" s="1" t="n"/>
      <c r="G80" s="1" t="n"/>
      <c r="H80" s="1" t="n"/>
    </row>
    <row r="81">
      <c r="A81" s="1" t="n"/>
      <c r="B81" s="17" t="n"/>
      <c r="C81" s="1" t="n"/>
      <c r="D81" s="1" t="n"/>
      <c r="E81" s="1" t="n"/>
      <c r="F81" s="1" t="n"/>
      <c r="G81" s="1" t="n"/>
      <c r="H81" s="1" t="n"/>
    </row>
    <row r="82">
      <c r="A82" s="1" t="n"/>
      <c r="B82" s="17" t="n"/>
      <c r="C82" s="1" t="n"/>
      <c r="D82" s="1" t="n"/>
      <c r="E82" s="1" t="n"/>
      <c r="F82" s="1" t="n"/>
      <c r="G82" s="1" t="n"/>
      <c r="H82" s="1" t="n"/>
    </row>
    <row r="83">
      <c r="A83" s="1" t="n"/>
      <c r="B83" s="17" t="n"/>
      <c r="C83" s="1" t="n"/>
      <c r="D83" s="1" t="n"/>
      <c r="E83" s="1" t="n"/>
      <c r="F83" s="1" t="n"/>
      <c r="G83" s="1" t="n"/>
      <c r="H83" s="1" t="n"/>
    </row>
    <row r="84">
      <c r="A84" s="1" t="n"/>
      <c r="B84" s="17" t="n"/>
      <c r="C84" s="1" t="n"/>
      <c r="D84" s="1" t="n"/>
      <c r="E84" s="1" t="n"/>
      <c r="F84" s="1" t="n"/>
      <c r="G84" s="1" t="n"/>
      <c r="H84" s="1" t="n"/>
    </row>
    <row r="85">
      <c r="A85" s="1" t="n"/>
      <c r="B85" s="17" t="n"/>
      <c r="C85" s="1" t="n"/>
      <c r="D85" s="1" t="n"/>
      <c r="E85" s="1" t="n"/>
      <c r="F85" s="1" t="n"/>
      <c r="G85" s="1" t="n"/>
      <c r="H85" s="1" t="n"/>
    </row>
    <row r="86">
      <c r="A86" s="1" t="n"/>
      <c r="B86" s="23" t="inlineStr">
        <is>
          <t>Ejemplos: Uber, DoorDash, Rappi, Lyft, Instacart, Cliente directo…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</sheetData>
  <mergeCells count="7">
    <mergeCell ref="B4:F4"/>
    <mergeCell ref="B55:F55"/>
    <mergeCell ref="B2:F2"/>
    <mergeCell ref="B3:F3"/>
    <mergeCell ref="B74:F74"/>
    <mergeCell ref="B41:F41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3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13" customWidth="1" min="4" max="4"/>
    <col width="27" customWidth="1" min="5" max="5"/>
    <col width="17" customWidth="1" min="6" max="6"/>
    <col width="19" customWidth="1" min="7" max="7"/>
    <col hidden="1" width="2" customWidth="1" min="8" max="8"/>
    <col width="2" customWidth="1" min="9" max="9"/>
    <col width="10" customWidth="1" min="10" max="10"/>
    <col width="27" customWidth="1" min="11" max="11"/>
    <col width="13" customWidth="1" min="12" max="12"/>
    <col width="7" customWidth="1" min="13" max="13"/>
    <col width="12" customWidth="1" min="14" max="14"/>
    <col width="2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2" customWidth="1" min="23" max="23"/>
    <col width="20" customWidth="1" min="24" max="24"/>
    <col width="14" customWidth="1" min="25" max="25"/>
    <col width="14" customWidth="1" min="26" max="26"/>
    <col width="7" customWidth="1" min="27" max="27"/>
    <col width="20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>
        <f>IF(Configuración!$B43="",0,Configuración!$C43*IF(Configuración!$D43="Diario",$AE$5,IF(Configuración!$D43="Semanal",$AE$5/7,IF(Configuración!$D43="Quincenal",$AE$5/14,0))))</f>
        <v>868.0</v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inlineStr">
        <is>
          <t>Categoría</t>
        </is>
      </c>
      <c r="AU1" s="1" t="inlineStr">
        <is>
          <t>Total</t>
        </is>
      </c>
      <c r="AV1" s="1" t="n"/>
    </row>
    <row r="2" ht="40" customHeight="1">
      <c r="A2" s="1" t="n"/>
      <c r="B2" s="13" t="inlineStr">
        <is>
          <t>📅  Marzo 2026 — Gig Finance</t>
        </is>
      </c>
      <c r="I2" s="1" t="n"/>
      <c r="J2" s="25" t="inlineStr">
        <is>
          <t>Mes:</t>
        </is>
      </c>
      <c r="K2" s="26" t="inlineStr">
        <is>
          <t>Marzo</t>
        </is>
      </c>
      <c r="L2" s="25" t="inlineStr">
        <is>
          <t>Año:</t>
        </is>
      </c>
      <c r="M2" s="26" t="n">
        <v>2026</v>
      </c>
      <c r="N2" s="1" t="n"/>
      <c r="O2" s="1" t="n"/>
      <c r="P2" s="27" t="inlineStr">
        <is>
          <t>Vista previa · datos de ejemplo</t>
        </is>
      </c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>
        <f>IF(Configuración!$B44="",0,Configuración!$C44*IF(Configuración!$D44="Diario",$AE$5,IF(Configuración!$D44="Semanal",$AE$5/7,IF(Configuración!$D44="Quincenal",$AE$5/14,0))))</f>
        <v>398.57</v>
      </c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inlineStr">
        <is>
          <t>Comida</t>
        </is>
      </c>
      <c r="AU2" s="1" t="n">
        <v>420</v>
      </c>
      <c r="AV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>
        <f>IF(Configuración!$B45="",0,Configuración!$C45*IF(Configuración!$D45="Diario",$AE$5,IF(Configuración!$D45="Semanal",$AE$5/7,IF(Configuración!$D45="Quincenal",$AE$5/14,0))))</f>
        <v>55.36</v>
      </c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inlineStr">
        <is>
          <t>Gasolina</t>
        </is>
      </c>
      <c r="AU3" s="1" t="n">
        <v>380</v>
      </c>
      <c r="AV3" s="1" t="n"/>
    </row>
    <row r="4" ht="26" customHeight="1">
      <c r="A4" s="1" t="n"/>
      <c r="B4" s="28" t="inlineStr">
        <is>
          <t>PANEL DEL MES</t>
        </is>
      </c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inlineStr">
        <is>
          <t>Mantenimiento</t>
        </is>
      </c>
      <c r="AU4" s="1" t="n">
        <v>230</v>
      </c>
      <c r="AV4" s="1" t="n"/>
    </row>
    <row r="5" ht="20" customHeight="1">
      <c r="A5" s="1" t="n"/>
      <c r="B5" s="29" t="inlineStr">
        <is>
          <t>💵  INGRESOS DEL MES</t>
        </is>
      </c>
      <c r="C5" s="30" t="n"/>
      <c r="D5" s="30" t="n"/>
      <c r="E5" s="30" t="n"/>
      <c r="F5" s="29" t="inlineStr">
        <is>
          <t>🧾  GASTOS DEL MES</t>
        </is>
      </c>
      <c r="G5" s="30" t="n"/>
      <c r="H5" s="30" t="n"/>
      <c r="I5" s="30" t="n"/>
      <c r="J5" s="29" t="inlineStr">
        <is>
          <t>⚖️  BALANCE</t>
        </is>
      </c>
      <c r="K5" s="30" t="n"/>
      <c r="L5" s="30" t="n"/>
      <c r="M5" s="30" t="n"/>
      <c r="N5" s="29" t="inlineStr">
        <is>
          <t>📈  PROGRESO</t>
        </is>
      </c>
      <c r="O5" s="30" t="n"/>
      <c r="P5" s="30" t="n"/>
      <c r="Q5" s="30" t="n"/>
      <c r="R5" s="29" t="inlineStr">
        <is>
          <t>🚦  ESTADO</t>
        </is>
      </c>
      <c r="S5" s="30" t="n"/>
      <c r="T5" s="30" t="n"/>
      <c r="U5" s="30" t="n"/>
      <c r="V5" s="1" t="n"/>
      <c r="W5" s="1" t="n"/>
      <c r="X5" s="1" t="n"/>
      <c r="Y5" s="1" t="n"/>
      <c r="Z5" s="1" t="n"/>
      <c r="AA5" s="1" t="n"/>
      <c r="AB5" s="1" t="n"/>
      <c r="AC5" s="1" t="n"/>
      <c r="AD5" s="1" t="inlineStr">
        <is>
          <t>días del mes</t>
        </is>
      </c>
      <c r="AE5" s="1" t="n">
        <v>31</v>
      </c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inlineStr">
        <is>
          <t>Pago fijo</t>
        </is>
      </c>
      <c r="AU5" s="1" t="n">
        <v>225</v>
      </c>
      <c r="AV5" s="1" t="n"/>
    </row>
    <row r="6" ht="30" customHeight="1">
      <c r="A6" s="1" t="n"/>
      <c r="B6" s="31">
        <f>$AE$8</f>
        <v>1550.0</v>
      </c>
      <c r="C6" s="30" t="n"/>
      <c r="D6" s="30" t="n"/>
      <c r="E6" s="30" t="n"/>
      <c r="F6" s="32">
        <f>$AE$9</f>
        <v>1420.0</v>
      </c>
      <c r="G6" s="30" t="n"/>
      <c r="H6" s="30" t="n"/>
      <c r="I6" s="30" t="n"/>
      <c r="J6" s="33">
        <f>$AE$8-$AE$9</f>
        <v>130.0</v>
      </c>
      <c r="K6" s="30" t="n"/>
      <c r="L6" s="30" t="n"/>
      <c r="M6" s="30" t="n"/>
      <c r="N6" s="34">
        <f>$AE$14/100</f>
        <v>0.52</v>
      </c>
      <c r="O6" s="30" t="n"/>
      <c r="P6" s="30" t="n"/>
      <c r="Q6" s="30" t="n"/>
      <c t="str" r="R6" s="35">
        <f>IF($AE$13&lt;=0,"🟢 Vas bien",IF($AE$14&gt;=50,"🟡 Atención","🔴 En riesgo"))</f>
        <v>🟡 Atención</v>
      </c>
      <c r="S6" s="30" t="n"/>
      <c r="T6" s="30" t="n"/>
      <c r="U6" s="30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inlineStr">
        <is>
          <t>Personal</t>
        </is>
      </c>
      <c r="AU6" s="1" t="n">
        <v>90</v>
      </c>
      <c r="AV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inlineStr">
        <is>
          <t>Pago de tarjeta de crédito</t>
        </is>
      </c>
      <c r="AU7" s="1" t="n">
        <v>75</v>
      </c>
      <c r="AV7" s="1" t="n"/>
    </row>
    <row r="8" ht="20" customHeight="1">
      <c r="A8" s="1" t="n"/>
      <c r="B8" s="29" t="inlineStr">
        <is>
          <t>🎯  META DIARIA</t>
        </is>
      </c>
      <c r="C8" s="30" t="n"/>
      <c r="D8" s="30" t="n"/>
      <c r="E8" s="30" t="n"/>
      <c r="F8" s="29" t="inlineStr">
        <is>
          <t>🗓️  DÍAS DE TRABAJO POR DELANTE</t>
        </is>
      </c>
      <c r="G8" s="30" t="n"/>
      <c r="H8" s="30" t="n"/>
      <c r="I8" s="30" t="n"/>
      <c r="J8" s="29" t="inlineStr">
        <is>
          <t>📌  PAGOS SIN MARCAR</t>
        </is>
      </c>
      <c r="K8" s="30" t="n"/>
      <c r="L8" s="30" t="n"/>
      <c r="M8" s="30" t="n"/>
      <c r="N8" s="29" t="inlineStr">
        <is>
          <t>🔁  GASTOS RECURRENTES DEL MES</t>
        </is>
      </c>
      <c r="O8" s="30" t="n"/>
      <c r="P8" s="30" t="n"/>
      <c r="Q8" s="30" t="n"/>
      <c r="R8" s="29" t="inlineStr">
        <is>
          <t>💳  TOTAL A CUBRIR</t>
        </is>
      </c>
      <c r="S8" s="30" t="n"/>
      <c r="T8" s="30" t="n"/>
      <c r="U8" s="30" t="n"/>
      <c r="V8" s="1" t="n"/>
      <c r="W8" s="1" t="n"/>
      <c r="X8" s="1" t="n"/>
      <c r="Y8" s="1" t="n"/>
      <c r="Z8" s="1" t="n"/>
      <c r="AA8" s="1" t="n"/>
      <c r="AB8" s="1" t="n"/>
      <c r="AC8" s="1" t="n"/>
      <c r="AD8" s="1" t="inlineStr">
        <is>
          <t>ingresos</t>
        </is>
      </c>
      <c r="AE8" s="1">
        <f>SUMIFS($D$16:$D$120,$C$16:$C$120,"Ingreso")</f>
        <v>1550.0</v>
      </c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30" customHeight="1">
      <c r="A9" s="1" t="n"/>
      <c r="B9" s="36">
        <f>$AE$15</f>
        <v>111.19</v>
      </c>
      <c r="C9" s="30" t="n"/>
      <c r="D9" s="30" t="n"/>
      <c r="E9" s="30" t="n"/>
      <c r="F9" s="37" t="n">
        <v>10</v>
      </c>
      <c r="G9" s="30" t="n"/>
      <c r="H9" s="30" t="n"/>
      <c r="I9" s="30" t="n"/>
      <c r="J9" s="38">
        <f>$AE$19</f>
        <v>1340.0</v>
      </c>
      <c r="K9" s="30" t="n"/>
      <c r="L9" s="30" t="n"/>
      <c r="M9" s="30" t="n"/>
      <c r="N9" s="32">
        <f>$AE$10</f>
        <v>1321.93</v>
      </c>
      <c r="O9" s="30" t="n"/>
      <c r="P9" s="30" t="n"/>
      <c r="Q9" s="30" t="n"/>
      <c r="R9" s="32">
        <f>$AE$12</f>
        <v>2961.93</v>
      </c>
      <c r="S9" s="30" t="n"/>
      <c r="T9" s="30" t="n"/>
      <c r="U9" s="30" t="n"/>
      <c r="V9" s="1" t="n"/>
      <c r="W9" s="1" t="n"/>
      <c r="X9" s="1" t="n"/>
      <c r="Y9" s="1" t="n"/>
      <c r="Z9" s="1" t="n"/>
      <c r="AA9" s="1" t="n"/>
      <c r="AB9" s="1" t="n"/>
      <c r="AC9" s="1" t="n"/>
      <c r="AD9" s="1" t="inlineStr">
        <is>
          <t>gastos</t>
        </is>
      </c>
      <c r="AE9" s="1">
        <f>SUMIFS($D$16:$D$120,$C$16:$C$120,"Gasto")</f>
        <v>1420.0</v>
      </c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inlineStr">
        <is>
          <t>recurrentes</t>
        </is>
      </c>
      <c r="AE10" s="1">
        <f>SUM(AH1:AH3)</f>
        <v>1321.93</v>
      </c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34" customHeight="1">
      <c r="A11" s="1" t="n"/>
      <c r="B11" s="39" t="inlineStr">
        <is>
          <t>🎯 Gana $111.19 cada día que trabajes para llegar a Gastos recurrentes el 31/03/2026.</t>
        </is>
      </c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inlineStr">
        <is>
          <t>total obligaciones</t>
        </is>
      </c>
      <c r="AE12" s="1">
        <f>SUM($L$16:$L$45)+$AE$10</f>
        <v>2961.93</v>
      </c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inlineStr">
        <is>
          <t>falta por cubrir</t>
        </is>
      </c>
      <c r="AE13" s="1">
        <f>MAX(0,$AE$19+$AE$10-$AE$8)</f>
        <v>1111.93</v>
      </c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</row>
    <row r="14" ht="26" customHeight="1">
      <c r="A14" s="1" t="n"/>
      <c r="B14" s="28" t="inlineStr">
        <is>
          <t>A ·  REGISTRO DE MOVIMIENTOS</t>
        </is>
      </c>
      <c r="I14" s="1" t="n"/>
      <c r="J14" s="28" t="inlineStr">
        <is>
          <t>B ·  PAGOS DEL MES</t>
        </is>
      </c>
      <c r="O14" s="1" t="n"/>
      <c r="P14" s="28" t="inlineStr">
        <is>
          <t>C ·  CALENDARIO DE TRABAJO</t>
        </is>
      </c>
      <c r="W14" s="1" t="n"/>
      <c r="X14" s="28" t="inlineStr">
        <is>
          <t>D ·  PRESUPUESTO POR CATEGORÍA</t>
        </is>
      </c>
      <c r="AC14" s="1" t="n"/>
      <c r="AD14" s="1" t="inlineStr">
        <is>
          <t>progreso %</t>
        </is>
      </c>
      <c r="AE14" s="1">
        <f>IF($AE$12&gt;0,MIN(100,ROUND($AE$8/$AE$12*100,0)),100)</f>
        <v>52</v>
      </c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</row>
    <row r="15" ht="32" customHeight="1">
      <c r="A15" s="1" t="n"/>
      <c r="B15" s="16" t="inlineStr">
        <is>
          <t>Fecha</t>
        </is>
      </c>
      <c r="C15" s="16" t="inlineStr">
        <is>
          <t>Tipo</t>
        </is>
      </c>
      <c r="D15" s="16" t="inlineStr">
        <is>
          <t>Monto</t>
        </is>
      </c>
      <c r="E15" s="16" t="inlineStr">
        <is>
          <t>Descripción</t>
        </is>
      </c>
      <c r="F15" s="16" t="inlineStr">
        <is>
          <t>Plataforma (sólo ingresos)</t>
        </is>
      </c>
      <c r="G15" s="16" t="inlineStr">
        <is>
          <t>Categoría (sólo gastos)</t>
        </is>
      </c>
      <c r="H15" s="1" t="n"/>
      <c r="I15" s="1" t="n"/>
      <c r="J15" s="16" t="inlineStr">
        <is>
          <t>¿Pagado?</t>
        </is>
      </c>
      <c r="K15" s="16" t="inlineStr">
        <is>
          <t>Concepto</t>
        </is>
      </c>
      <c r="L15" s="16" t="inlineStr">
        <is>
          <t>Monto</t>
        </is>
      </c>
      <c r="M15" s="16" t="inlineStr">
        <is>
          <t>Día</t>
        </is>
      </c>
      <c r="N15" s="16" t="inlineStr">
        <is>
          <t>Tipo</t>
        </is>
      </c>
      <c r="O15" s="1" t="n"/>
      <c r="P15" s="16" t="inlineStr">
        <is>
          <t>Dom</t>
        </is>
      </c>
      <c r="Q15" s="16" t="inlineStr">
        <is>
          <t>Lun</t>
        </is>
      </c>
      <c r="R15" s="16" t="inlineStr">
        <is>
          <t>Mar</t>
        </is>
      </c>
      <c r="S15" s="16" t="inlineStr">
        <is>
          <t>Mié</t>
        </is>
      </c>
      <c r="T15" s="16" t="inlineStr">
        <is>
          <t>Jue</t>
        </is>
      </c>
      <c r="U15" s="16" t="inlineStr">
        <is>
          <t>Vie</t>
        </is>
      </c>
      <c r="V15" s="16" t="inlineStr">
        <is>
          <t>Sáb</t>
        </is>
      </c>
      <c r="W15" s="1" t="n"/>
      <c r="X15" s="16" t="inlineStr">
        <is>
          <t>Categoría</t>
        </is>
      </c>
      <c r="Y15" s="16" t="inlineStr">
        <is>
          <t>Presupuesto</t>
        </is>
      </c>
      <c r="Z15" s="16" t="inlineStr">
        <is>
          <t>Gastado</t>
        </is>
      </c>
      <c r="AA15" s="16" t="inlineStr">
        <is>
          <t>%</t>
        </is>
      </c>
      <c r="AB15" s="16" t="inlineStr">
        <is>
          <t>Avance</t>
        </is>
      </c>
      <c r="AC15" s="1" t="n"/>
      <c r="AD15" s="1" t="inlineStr">
        <is>
          <t>meta diaria (fija en la vista previa)</t>
        </is>
      </c>
      <c r="AE15" s="1" t="n">
        <v>111.19</v>
      </c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8" customHeight="1">
      <c r="A16" s="1" t="n"/>
      <c r="B16" s="40" t="n">
        <v>46082</v>
      </c>
      <c r="C16" s="19" t="inlineStr">
        <is>
          <t>Gasto</t>
        </is>
      </c>
      <c r="D16" s="18" t="n">
        <v>32</v>
      </c>
      <c r="E16" s="17" t="inlineStr">
        <is>
          <t>Gasolina</t>
        </is>
      </c>
      <c r="F16" s="17" t="inlineStr"/>
      <c r="G16" s="17" t="inlineStr">
        <is>
          <t>Gasolina</t>
        </is>
      </c>
      <c r="H16" s="1" t="n"/>
      <c r="I16" s="1" t="n"/>
      <c r="J16" s="41" t="inlineStr"/>
      <c r="K16" s="42" t="inlineStr">
        <is>
          <t>Renta</t>
        </is>
      </c>
      <c r="L16" s="24" t="n">
        <v>1200</v>
      </c>
      <c r="M16" s="43" t="n">
        <v>5</v>
      </c>
      <c r="N16" s="44" t="inlineStr">
        <is>
          <t>Pago fijo</t>
        </is>
      </c>
      <c r="O16" s="1" t="n"/>
      <c r="P16" s="45" t="n">
        <v>1</v>
      </c>
      <c r="Q16" s="45" t="n">
        <v>2</v>
      </c>
      <c r="R16" s="45" t="n">
        <v>3</v>
      </c>
      <c r="S16" s="45" t="n">
        <v>4</v>
      </c>
      <c r="T16" s="45" t="n">
        <v>5</v>
      </c>
      <c r="U16" s="45" t="n">
        <v>6</v>
      </c>
      <c r="V16" s="45" t="n">
        <v>7</v>
      </c>
      <c r="W16" s="1" t="n"/>
      <c r="X16" s="42" t="inlineStr">
        <is>
          <t>Gasolina</t>
        </is>
      </c>
      <c r="Y16" s="24" t="n">
        <v>900</v>
      </c>
      <c r="Z16" s="24">
        <f>SUMIFS($D$16:$D$120,$C$16:$C$120,"Gasto",$G$16:$G$120,$X16)</f>
        <v>380.0</v>
      </c>
      <c r="AA16" s="46">
        <f>IF($Y16&lt;=0,0,ROUND($Z16/$Y16*100,0))</f>
        <v>42</v>
      </c>
      <c t="str" r="AB16" s="42">
        <f>IF($X16="","",REPT("█",MIN(20,ROUND($AA16/5,0)))&amp;IF($AA16&gt;100," ⚠",""))</f>
        <v>████████</v>
      </c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20" customHeight="1">
      <c r="A17" s="1" t="n"/>
      <c r="B17" s="40" t="n">
        <v>46082</v>
      </c>
      <c r="C17" s="19" t="inlineStr">
        <is>
          <t>Ingreso</t>
        </is>
      </c>
      <c r="D17" s="18" t="n">
        <v>145</v>
      </c>
      <c r="E17" s="17" t="inlineStr">
        <is>
          <t>Turno del domingo</t>
        </is>
      </c>
      <c r="F17" s="17" t="inlineStr">
        <is>
          <t>Uber</t>
        </is>
      </c>
      <c r="G17" s="17" t="inlineStr"/>
      <c r="H17" s="1" t="n"/>
      <c r="I17" s="1" t="n"/>
      <c r="J17" s="41" t="inlineStr">
        <is>
          <t>✔</t>
        </is>
      </c>
      <c r="K17" s="42" t="inlineStr">
        <is>
          <t>Seguro del carro</t>
        </is>
      </c>
      <c r="L17" s="24" t="n">
        <v>140</v>
      </c>
      <c r="M17" s="43" t="n">
        <v>8</v>
      </c>
      <c r="N17" s="44" t="inlineStr">
        <is>
          <t>Pago fijo</t>
        </is>
      </c>
      <c r="O17" s="1" t="n"/>
      <c r="P17" s="47" t="inlineStr">
        <is>
          <t>✔</t>
        </is>
      </c>
      <c r="Q17" s="47" t="inlineStr">
        <is>
          <t>✔</t>
        </is>
      </c>
      <c r="R17" s="47" t="n"/>
      <c r="S17" s="47" t="inlineStr">
        <is>
          <t>✔</t>
        </is>
      </c>
      <c r="T17" s="47" t="inlineStr">
        <is>
          <t>✔</t>
        </is>
      </c>
      <c r="U17" s="47" t="n"/>
      <c r="V17" s="47" t="inlineStr">
        <is>
          <t>✔</t>
        </is>
      </c>
      <c r="W17" s="1" t="n"/>
      <c r="X17" s="42" t="inlineStr">
        <is>
          <t>Comida</t>
        </is>
      </c>
      <c r="Y17" s="24" t="n">
        <v>500</v>
      </c>
      <c r="Z17" s="24">
        <f>SUMIFS($D$16:$D$120,$C$16:$C$120,"Gasto",$G$16:$G$120,$X17)</f>
        <v>420.0</v>
      </c>
      <c r="AA17" s="46">
        <f>IF($Y17&lt;=0,0,ROUND($Z17/$Y17*100,0))</f>
        <v>84</v>
      </c>
      <c t="str" r="AB17" s="42">
        <f>IF($X17="","",REPT("█",MIN(20,ROUND($AA17/5,0)))&amp;IF($AA17&gt;100," ⚠",""))</f>
        <v>█████████████████</v>
      </c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8" customHeight="1">
      <c r="A18" s="1" t="n"/>
      <c r="B18" s="40" t="n">
        <v>46083</v>
      </c>
      <c r="C18" s="19" t="inlineStr">
        <is>
          <t>Gasto</t>
        </is>
      </c>
      <c r="D18" s="18" t="n">
        <v>28</v>
      </c>
      <c r="E18" s="17" t="inlineStr">
        <is>
          <t>Gasolina</t>
        </is>
      </c>
      <c r="F18" s="17" t="inlineStr"/>
      <c r="G18" s="17" t="inlineStr">
        <is>
          <t>Gasolina</t>
        </is>
      </c>
      <c r="H18" s="1" t="n"/>
      <c r="I18" s="1" t="n"/>
      <c r="J18" s="41" t="inlineStr">
        <is>
          <t>✔</t>
        </is>
      </c>
      <c r="K18" s="42" t="inlineStr">
        <is>
          <t>Luz</t>
        </is>
      </c>
      <c r="L18" s="24" t="n">
        <v>85</v>
      </c>
      <c r="M18" s="43" t="n">
        <v>12</v>
      </c>
      <c r="N18" s="44" t="inlineStr">
        <is>
          <t>Pago fijo</t>
        </is>
      </c>
      <c r="O18" s="1" t="n"/>
      <c r="P18" s="45" t="n">
        <v>8</v>
      </c>
      <c r="Q18" s="45" t="n">
        <v>9</v>
      </c>
      <c r="R18" s="45" t="n">
        <v>10</v>
      </c>
      <c r="S18" s="45" t="n">
        <v>11</v>
      </c>
      <c r="T18" s="45" t="n">
        <v>12</v>
      </c>
      <c r="U18" s="45" t="n">
        <v>13</v>
      </c>
      <c r="V18" s="45" t="n">
        <v>14</v>
      </c>
      <c r="W18" s="1" t="n"/>
      <c r="X18" s="42" t="inlineStr">
        <is>
          <t>Mantenimiento</t>
        </is>
      </c>
      <c r="Y18" s="24" t="n">
        <v>200</v>
      </c>
      <c r="Z18" s="24">
        <f>SUMIFS($D$16:$D$120,$C$16:$C$120,"Gasto",$G$16:$G$120,$X18)</f>
        <v>230.0</v>
      </c>
      <c r="AA18" s="46">
        <f>IF($Y18&lt;=0,0,ROUND($Z18/$Y18*100,0))</f>
        <v>115</v>
      </c>
      <c t="str" r="AB18" s="42">
        <f>IF($X18="","",REPT("█",MIN(20,ROUND($AA18/5,0)))&amp;IF($AA18&gt;100," ⚠",""))</f>
        <v>████████████████████ ⚠</v>
      </c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20" customHeight="1">
      <c r="A19" s="1" t="n"/>
      <c r="B19" s="40" t="n">
        <v>46083</v>
      </c>
      <c r="C19" s="19" t="inlineStr">
        <is>
          <t>Gasto</t>
        </is>
      </c>
      <c r="D19" s="18" t="n">
        <v>65</v>
      </c>
      <c r="E19" s="17" t="inlineStr">
        <is>
          <t>Comida en ruta</t>
        </is>
      </c>
      <c r="F19" s="17" t="inlineStr"/>
      <c r="G19" s="17" t="inlineStr">
        <is>
          <t>Comida</t>
        </is>
      </c>
      <c r="H19" s="1" t="n"/>
      <c r="I19" s="1" t="n"/>
      <c r="J19" s="41" t="inlineStr">
        <is>
          <t>✔</t>
        </is>
      </c>
      <c r="K19" s="42" t="inlineStr">
        <is>
          <t>Visa (mínimo)</t>
        </is>
      </c>
      <c r="L19" s="24" t="n">
        <v>75</v>
      </c>
      <c r="M19" s="43" t="n">
        <v>12</v>
      </c>
      <c r="N19" s="44" t="inlineStr">
        <is>
          <t>Tarjeta</t>
        </is>
      </c>
      <c r="O19" s="1" t="n"/>
      <c r="P19" s="47" t="inlineStr">
        <is>
          <t>✔</t>
        </is>
      </c>
      <c r="Q19" s="47" t="inlineStr">
        <is>
          <t>✔</t>
        </is>
      </c>
      <c r="R19" s="47" t="n"/>
      <c r="S19" s="47" t="inlineStr">
        <is>
          <t>✔</t>
        </is>
      </c>
      <c r="T19" s="47" t="inlineStr">
        <is>
          <t>✔</t>
        </is>
      </c>
      <c r="U19" s="47" t="n"/>
      <c r="V19" s="47" t="inlineStr">
        <is>
          <t>✔</t>
        </is>
      </c>
      <c r="W19" s="1" t="n"/>
      <c r="X19" s="42" t="inlineStr">
        <is>
          <t>Personal</t>
        </is>
      </c>
      <c r="Y19" s="24" t="n">
        <v>300</v>
      </c>
      <c r="Z19" s="24">
        <f>SUMIFS($D$16:$D$120,$C$16:$C$120,"Gasto",$G$16:$G$120,$X19)</f>
        <v>90.0</v>
      </c>
      <c r="AA19" s="46">
        <f>IF($Y19&lt;=0,0,ROUND($Z19/$Y19*100,0))</f>
        <v>30</v>
      </c>
      <c t="str" r="AB19" s="42">
        <f>IF($X19="","",REPT("█",MIN(20,ROUND($AA19/5,0)))&amp;IF($AA19&gt;100," ⚠",""))</f>
        <v>██████</v>
      </c>
      <c r="AC19" s="1" t="n"/>
      <c r="AD19" s="1" t="inlineStr">
        <is>
          <t>pagos sin marcar</t>
        </is>
      </c>
      <c r="AE19" s="1">
        <f>SUMIFS($L$16:$L$45,$J$16:$J$45,"",$K$16:$K$45,"&lt;&gt;")</f>
        <v>1340.0</v>
      </c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8" customHeight="1">
      <c r="A20" s="1" t="n"/>
      <c r="B20" s="40" t="n">
        <v>46083</v>
      </c>
      <c r="C20" s="19" t="inlineStr">
        <is>
          <t>Ingreso</t>
        </is>
      </c>
      <c r="D20" s="18" t="n">
        <v>118</v>
      </c>
      <c r="E20" s="17" t="inlineStr">
        <is>
          <t>Turno de la tarde</t>
        </is>
      </c>
      <c r="F20" s="17" t="inlineStr">
        <is>
          <t>DoorDash</t>
        </is>
      </c>
      <c r="G20" s="17" t="inlineStr"/>
      <c r="H20" s="1" t="n"/>
      <c r="I20" s="1" t="n"/>
      <c r="J20" s="41" t="inlineStr"/>
      <c r="K20" s="42" t="inlineStr">
        <is>
          <t>Internet</t>
        </is>
      </c>
      <c r="L20" s="24" t="n">
        <v>60</v>
      </c>
      <c r="M20" s="43" t="n">
        <v>15</v>
      </c>
      <c r="N20" s="44" t="inlineStr">
        <is>
          <t>Pago fijo</t>
        </is>
      </c>
      <c r="O20" s="1" t="n"/>
      <c r="P20" s="45" t="n">
        <v>15</v>
      </c>
      <c r="Q20" s="45" t="n">
        <v>16</v>
      </c>
      <c r="R20" s="48" t="n">
        <v>17</v>
      </c>
      <c r="S20" s="45" t="n">
        <v>18</v>
      </c>
      <c r="T20" s="45" t="n">
        <v>19</v>
      </c>
      <c r="U20" s="45" t="n">
        <v>20</v>
      </c>
      <c r="V20" s="45" t="n">
        <v>21</v>
      </c>
      <c r="W20" s="1" t="n"/>
      <c r="X20" s="42" t="n"/>
      <c r="Y20" s="24" t="n"/>
      <c r="Z20" s="24" t="n"/>
      <c r="AA20" s="46" t="n"/>
      <c r="AB20" s="42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20" customHeight="1">
      <c r="A21" s="1" t="n"/>
      <c r="B21" s="40" t="n">
        <v>46084</v>
      </c>
      <c r="C21" s="19" t="inlineStr">
        <is>
          <t>Gasto</t>
        </is>
      </c>
      <c r="D21" s="18" t="n">
        <v>40</v>
      </c>
      <c r="E21" s="17" t="inlineStr">
        <is>
          <t>Corte de pelo</t>
        </is>
      </c>
      <c r="F21" s="17" t="inlineStr"/>
      <c r="G21" s="17" t="inlineStr">
        <is>
          <t>Personal</t>
        </is>
      </c>
      <c r="H21" s="1" t="n"/>
      <c r="I21" s="1" t="n"/>
      <c r="J21" s="41" t="inlineStr"/>
      <c r="K21" s="42" t="inlineStr">
        <is>
          <t>Celular</t>
        </is>
      </c>
      <c r="L21" s="24" t="n">
        <v>45</v>
      </c>
      <c r="M21" s="43" t="n">
        <v>20</v>
      </c>
      <c r="N21" s="44" t="inlineStr">
        <is>
          <t>Pago fijo</t>
        </is>
      </c>
      <c r="O21" s="1" t="n"/>
      <c r="P21" s="47" t="inlineStr">
        <is>
          <t>✔</t>
        </is>
      </c>
      <c r="Q21" s="47" t="inlineStr">
        <is>
          <t>✔</t>
        </is>
      </c>
      <c r="R21" s="47" t="n"/>
      <c r="S21" s="47" t="inlineStr">
        <is>
          <t>✔</t>
        </is>
      </c>
      <c r="T21" s="47" t="inlineStr">
        <is>
          <t>✔</t>
        </is>
      </c>
      <c r="U21" s="47" t="n"/>
      <c r="V21" s="47" t="inlineStr">
        <is>
          <t>✔</t>
        </is>
      </c>
      <c r="W21" s="1" t="n"/>
      <c r="X21" s="42" t="n"/>
      <c r="Y21" s="24" t="n"/>
      <c r="Z21" s="24" t="n"/>
      <c r="AA21" s="46" t="n"/>
      <c r="AB21" s="42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8" customHeight="1">
      <c r="A22" s="1" t="n"/>
      <c r="B22" s="40" t="n">
        <v>46085</v>
      </c>
      <c r="C22" s="19" t="inlineStr">
        <is>
          <t>Gasto</t>
        </is>
      </c>
      <c r="D22" s="18" t="n">
        <v>35</v>
      </c>
      <c r="E22" s="17" t="inlineStr">
        <is>
          <t>Gasolina</t>
        </is>
      </c>
      <c r="F22" s="17" t="inlineStr"/>
      <c r="G22" s="17" t="inlineStr">
        <is>
          <t>Gasolina</t>
        </is>
      </c>
      <c r="H22" s="1" t="n"/>
      <c r="I22" s="1" t="n"/>
      <c r="J22" s="41" t="inlineStr"/>
      <c r="K22" s="42" t="inlineStr">
        <is>
          <t>Capital One (mínimo)</t>
        </is>
      </c>
      <c r="L22" s="24" t="n">
        <v>35</v>
      </c>
      <c r="M22" s="43" t="n">
        <v>22</v>
      </c>
      <c r="N22" s="44" t="inlineStr">
        <is>
          <t>Tarjeta</t>
        </is>
      </c>
      <c r="O22" s="1" t="n"/>
      <c r="P22" s="45" t="n">
        <v>22</v>
      </c>
      <c r="Q22" s="45" t="n">
        <v>23</v>
      </c>
      <c r="R22" s="45" t="n">
        <v>24</v>
      </c>
      <c r="S22" s="45" t="n">
        <v>25</v>
      </c>
      <c r="T22" s="45" t="n">
        <v>26</v>
      </c>
      <c r="U22" s="45" t="n">
        <v>27</v>
      </c>
      <c r="V22" s="45" t="n">
        <v>28</v>
      </c>
      <c r="W22" s="1" t="n"/>
      <c r="X22" s="42" t="n"/>
      <c r="Y22" s="24" t="n"/>
      <c r="Z22" s="24" t="n"/>
      <c r="AA22" s="46" t="n"/>
      <c r="AB22" s="42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20" customHeight="1">
      <c r="A23" s="1" t="n"/>
      <c r="B23" s="40" t="n">
        <v>46085</v>
      </c>
      <c r="C23" s="19" t="inlineStr">
        <is>
          <t>Ingreso</t>
        </is>
      </c>
      <c r="D23" s="18" t="n">
        <v>162</v>
      </c>
      <c r="E23" s="17" t="inlineStr">
        <is>
          <t>Turno largo</t>
        </is>
      </c>
      <c r="F23" s="17" t="inlineStr">
        <is>
          <t>Uber</t>
        </is>
      </c>
      <c r="G23" s="17" t="inlineStr"/>
      <c r="H23" s="1" t="n"/>
      <c r="I23" s="1" t="n"/>
      <c r="J23" s="41" t="n"/>
      <c r="K23" s="42" t="n"/>
      <c r="L23" s="24" t="n"/>
      <c r="M23" s="43" t="n"/>
      <c r="N23" s="44" t="n"/>
      <c r="O23" s="1" t="n"/>
      <c r="P23" s="47" t="inlineStr">
        <is>
          <t>✔</t>
        </is>
      </c>
      <c r="Q23" s="47" t="inlineStr">
        <is>
          <t>✔</t>
        </is>
      </c>
      <c r="R23" s="47" t="n"/>
      <c r="S23" s="47" t="inlineStr">
        <is>
          <t>✔</t>
        </is>
      </c>
      <c r="T23" s="47" t="inlineStr">
        <is>
          <t>✔</t>
        </is>
      </c>
      <c r="U23" s="47" t="n"/>
      <c r="V23" s="47" t="inlineStr">
        <is>
          <t>✔</t>
        </is>
      </c>
      <c r="W23" s="1" t="n"/>
      <c r="X23" s="42" t="n"/>
      <c r="Y23" s="24" t="n"/>
      <c r="Z23" s="24" t="n"/>
      <c r="AA23" s="46" t="n"/>
      <c r="AB23" s="42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8" customHeight="1">
      <c r="A24" s="1" t="n"/>
      <c r="B24" s="40" t="n">
        <v>46086</v>
      </c>
      <c r="C24" s="19" t="inlineStr">
        <is>
          <t>Gasto</t>
        </is>
      </c>
      <c r="D24" s="18" t="n">
        <v>30</v>
      </c>
      <c r="E24" s="17" t="inlineStr">
        <is>
          <t>Gasolina</t>
        </is>
      </c>
      <c r="F24" s="17" t="inlineStr"/>
      <c r="G24" s="17" t="inlineStr">
        <is>
          <t>Gasolina</t>
        </is>
      </c>
      <c r="H24" s="1" t="n"/>
      <c r="I24" s="1" t="n"/>
      <c r="J24" s="41" t="n"/>
      <c r="K24" s="42" t="n"/>
      <c r="L24" s="24" t="n"/>
      <c r="M24" s="43" t="n"/>
      <c r="N24" s="44" t="n"/>
      <c r="O24" s="1" t="n"/>
      <c r="P24" s="45" t="n">
        <v>29</v>
      </c>
      <c r="Q24" s="45" t="n">
        <v>30</v>
      </c>
      <c r="R24" s="45" t="n">
        <v>31</v>
      </c>
      <c r="S24" s="49" t="n"/>
      <c r="T24" s="49" t="n"/>
      <c r="U24" s="49" t="n"/>
      <c r="V24" s="49" t="n"/>
      <c r="W24" s="1" t="n"/>
      <c r="X24" s="42" t="n"/>
      <c r="Y24" s="24" t="n"/>
      <c r="Z24" s="24" t="n"/>
      <c r="AA24" s="46" t="n"/>
      <c r="AB24" s="42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20" customHeight="1">
      <c r="A25" s="1" t="n"/>
      <c r="B25" s="40" t="n">
        <v>46086</v>
      </c>
      <c r="C25" s="19" t="inlineStr">
        <is>
          <t>Gasto</t>
        </is>
      </c>
      <c r="D25" s="18" t="n">
        <v>58</v>
      </c>
      <c r="E25" s="17" t="inlineStr">
        <is>
          <t>Comida en ruta</t>
        </is>
      </c>
      <c r="F25" s="17" t="inlineStr"/>
      <c r="G25" s="17" t="inlineStr">
        <is>
          <t>Comida</t>
        </is>
      </c>
      <c r="H25" s="1" t="n"/>
      <c r="I25" s="1" t="n"/>
      <c r="J25" s="41" t="n"/>
      <c r="K25" s="42" t="n"/>
      <c r="L25" s="24" t="n"/>
      <c r="M25" s="43" t="n"/>
      <c r="N25" s="44" t="n"/>
      <c r="O25" s="1" t="n"/>
      <c r="P25" s="47" t="inlineStr">
        <is>
          <t>✔</t>
        </is>
      </c>
      <c r="Q25" s="47" t="inlineStr">
        <is>
          <t>✔</t>
        </is>
      </c>
      <c r="R25" s="47" t="n"/>
      <c r="S25" s="50" t="n"/>
      <c r="T25" s="50" t="n"/>
      <c r="U25" s="50" t="n"/>
      <c r="V25" s="50" t="n"/>
      <c r="W25" s="1" t="n"/>
      <c r="X25" s="42" t="n"/>
      <c r="Y25" s="24" t="n"/>
      <c r="Z25" s="24" t="n"/>
      <c r="AA25" s="46" t="n"/>
      <c r="AB25" s="42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8" customHeight="1">
      <c r="A26" s="1" t="n"/>
      <c r="B26" s="40" t="n">
        <v>46086</v>
      </c>
      <c r="C26" s="19" t="inlineStr">
        <is>
          <t>Ingreso</t>
        </is>
      </c>
      <c r="D26" s="18" t="n">
        <v>96</v>
      </c>
      <c r="E26" s="17" t="inlineStr">
        <is>
          <t>Medio turno</t>
        </is>
      </c>
      <c r="F26" s="17" t="inlineStr">
        <is>
          <t>Instacart</t>
        </is>
      </c>
      <c r="G26" s="17" t="inlineStr"/>
      <c r="H26" s="1" t="n"/>
      <c r="I26" s="1" t="n"/>
      <c r="J26" s="41" t="n"/>
      <c r="K26" s="42" t="n"/>
      <c r="L26" s="24" t="n"/>
      <c r="M26" s="43" t="n"/>
      <c r="N26" s="44" t="n"/>
      <c r="O26" s="1" t="n"/>
      <c r="P26" s="49" t="n"/>
      <c r="Q26" s="49" t="n"/>
      <c r="R26" s="49" t="n"/>
      <c r="S26" s="49" t="n"/>
      <c r="T26" s="49" t="n"/>
      <c r="U26" s="49" t="n"/>
      <c r="V26" s="49" t="n"/>
      <c r="W26" s="1" t="n"/>
      <c r="X26" s="42" t="n"/>
      <c r="Y26" s="24" t="n"/>
      <c r="Z26" s="24" t="n"/>
      <c r="AA26" s="46" t="n"/>
      <c r="AB26" s="42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20" customHeight="1">
      <c r="A27" s="1" t="n"/>
      <c r="B27" s="40" t="n">
        <v>46087</v>
      </c>
      <c r="C27" s="19" t="inlineStr">
        <is>
          <t>Gasto</t>
        </is>
      </c>
      <c r="D27" s="18" t="n">
        <v>45</v>
      </c>
      <c r="E27" s="17" t="inlineStr">
        <is>
          <t>Cambio de aceite</t>
        </is>
      </c>
      <c r="F27" s="17" t="inlineStr"/>
      <c r="G27" s="17" t="inlineStr">
        <is>
          <t>Mantenimiento</t>
        </is>
      </c>
      <c r="H27" s="1" t="n"/>
      <c r="I27" s="1" t="n"/>
      <c r="J27" s="41" t="n"/>
      <c r="K27" s="42" t="n"/>
      <c r="L27" s="24" t="n"/>
      <c r="M27" s="43" t="n"/>
      <c r="N27" s="44" t="n"/>
      <c r="O27" s="1" t="n"/>
      <c r="P27" s="50" t="n"/>
      <c r="Q27" s="50" t="n"/>
      <c r="R27" s="50" t="n"/>
      <c r="S27" s="50" t="n"/>
      <c r="T27" s="50" t="n"/>
      <c r="U27" s="50" t="n"/>
      <c r="V27" s="50" t="n"/>
      <c r="W27" s="1" t="n"/>
      <c r="X27" s="42" t="n"/>
      <c r="Y27" s="24" t="n"/>
      <c r="Z27" s="24" t="n"/>
      <c r="AA27" s="46" t="n"/>
      <c r="AB27" s="42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30" customHeight="1">
      <c r="A28" s="1" t="n"/>
      <c r="B28" s="40" t="n">
        <v>46088</v>
      </c>
      <c r="C28" s="19" t="inlineStr">
        <is>
          <t>Gasto</t>
        </is>
      </c>
      <c r="D28" s="18" t="n">
        <v>41</v>
      </c>
      <c r="E28" s="17" t="inlineStr">
        <is>
          <t>Gasolina</t>
        </is>
      </c>
      <c r="F28" s="17" t="inlineStr"/>
      <c r="G28" s="17" t="inlineStr">
        <is>
          <t>Gasolina</t>
        </is>
      </c>
      <c r="H28" s="1" t="n"/>
      <c r="I28" s="1" t="n"/>
      <c r="J28" s="41" t="n"/>
      <c r="K28" s="42" t="n"/>
      <c r="L28" s="24" t="n"/>
      <c r="M28" s="43" t="n"/>
      <c r="N28" s="44" t="n"/>
      <c r="O28" s="1" t="n"/>
      <c r="P28" s="12" t="inlineStr">
        <is>
          <t>Marca los días que VAS a trabajar. Los pasados se marcan solos al registrar un ingreso.</t>
        </is>
      </c>
      <c r="W28" s="1" t="n"/>
      <c r="X28" s="42" t="n"/>
      <c r="Y28" s="24" t="n"/>
      <c r="Z28" s="24" t="n"/>
      <c r="AA28" s="46" t="n"/>
      <c r="AB28" s="42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>
      <c r="A29" s="1" t="n"/>
      <c r="B29" s="40" t="n">
        <v>46088</v>
      </c>
      <c r="C29" s="19" t="inlineStr">
        <is>
          <t>Ingreso</t>
        </is>
      </c>
      <c r="D29" s="18" t="n">
        <v>188</v>
      </c>
      <c r="E29" s="17" t="inlineStr">
        <is>
          <t>Sábado completo</t>
        </is>
      </c>
      <c r="F29" s="17" t="inlineStr">
        <is>
          <t>Uber</t>
        </is>
      </c>
      <c r="G29" s="17" t="inlineStr"/>
      <c r="H29" s="1" t="n"/>
      <c r="I29" s="1" t="n"/>
      <c r="J29" s="41" t="n"/>
      <c r="K29" s="42" t="n"/>
      <c r="L29" s="24" t="n"/>
      <c r="M29" s="43" t="n"/>
      <c r="N29" s="4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42" t="n"/>
      <c r="Y29" s="24" t="n"/>
      <c r="Z29" s="24" t="n"/>
      <c r="AA29" s="46" t="n"/>
      <c r="AB29" s="42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>
      <c r="A30" s="1" t="n"/>
      <c r="B30" s="40" t="n">
        <v>46089</v>
      </c>
      <c r="C30" s="19" t="inlineStr">
        <is>
          <t>Gasto</t>
        </is>
      </c>
      <c r="D30" s="18" t="n">
        <v>72</v>
      </c>
      <c r="E30" s="17" t="inlineStr">
        <is>
          <t>Comida en ruta</t>
        </is>
      </c>
      <c r="F30" s="17" t="inlineStr"/>
      <c r="G30" s="17" t="inlineStr">
        <is>
          <t>Comida</t>
        </is>
      </c>
      <c r="H30" s="1" t="n"/>
      <c r="I30" s="1" t="n"/>
      <c r="J30" s="41" t="n"/>
      <c r="K30" s="42" t="n"/>
      <c r="L30" s="24" t="n"/>
      <c r="M30" s="43" t="n"/>
      <c r="N30" s="4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42" t="n"/>
      <c r="Y30" s="24" t="n"/>
      <c r="Z30" s="24" t="n"/>
      <c r="AA30" s="46" t="n"/>
      <c r="AB30" s="42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>
      <c r="A31" s="1" t="n"/>
      <c r="B31" s="40" t="n">
        <v>46089</v>
      </c>
      <c r="C31" s="19" t="inlineStr">
        <is>
          <t>Gasto</t>
        </is>
      </c>
      <c r="D31" s="18" t="n">
        <v>140</v>
      </c>
      <c r="E31" s="17" t="inlineStr">
        <is>
          <t>Seguro del carro</t>
        </is>
      </c>
      <c r="F31" s="17" t="inlineStr"/>
      <c r="G31" s="17" t="inlineStr">
        <is>
          <t>Pago fijo</t>
        </is>
      </c>
      <c r="H31" s="1" t="n"/>
      <c r="I31" s="1" t="n"/>
      <c r="J31" s="41" t="n"/>
      <c r="K31" s="42" t="n"/>
      <c r="L31" s="24" t="n"/>
      <c r="M31" s="43" t="n"/>
      <c r="N31" s="4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30" customHeight="1">
      <c r="A32" s="1" t="n"/>
      <c r="B32" s="40" t="n">
        <v>46089</v>
      </c>
      <c r="C32" s="19" t="inlineStr">
        <is>
          <t>Ingreso</t>
        </is>
      </c>
      <c r="D32" s="18" t="n">
        <v>155</v>
      </c>
      <c r="E32" s="17" t="inlineStr">
        <is>
          <t>Domingo</t>
        </is>
      </c>
      <c r="F32" s="17" t="inlineStr">
        <is>
          <t>DoorDash</t>
        </is>
      </c>
      <c r="G32" s="17" t="inlineStr"/>
      <c r="H32" s="1" t="n"/>
      <c r="I32" s="1" t="n"/>
      <c r="J32" s="41" t="n"/>
      <c r="K32" s="42" t="n"/>
      <c r="L32" s="24" t="n"/>
      <c r="M32" s="43" t="n"/>
      <c r="N32" s="4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2" t="inlineStr">
        <is>
          <t>Verde por debajo del 80 %, ámbar entre 80 % y 99 %, rojo al llegar al 100 %.</t>
        </is>
      </c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>
      <c r="A33" s="1" t="n"/>
      <c r="B33" s="40" t="n">
        <v>46090</v>
      </c>
      <c r="C33" s="19" t="inlineStr">
        <is>
          <t>Gasto</t>
        </is>
      </c>
      <c r="D33" s="18" t="n">
        <v>38</v>
      </c>
      <c r="E33" s="17" t="inlineStr">
        <is>
          <t>Gasolina</t>
        </is>
      </c>
      <c r="F33" s="17" t="inlineStr"/>
      <c r="G33" s="17" t="inlineStr">
        <is>
          <t>Gasolina</t>
        </is>
      </c>
      <c r="H33" s="1" t="n"/>
      <c r="I33" s="1" t="n"/>
      <c r="J33" s="41" t="n"/>
      <c r="K33" s="42" t="n"/>
      <c r="L33" s="24" t="n"/>
      <c r="M33" s="43" t="n"/>
      <c r="N33" s="4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>
      <c r="A34" s="1" t="n"/>
      <c r="B34" s="40" t="n">
        <v>46090</v>
      </c>
      <c r="C34" s="19" t="inlineStr">
        <is>
          <t>Ingreso</t>
        </is>
      </c>
      <c r="D34" s="18" t="n">
        <v>104</v>
      </c>
      <c r="E34" s="17" t="inlineStr">
        <is>
          <t>Turno corto</t>
        </is>
      </c>
      <c r="F34" s="17" t="inlineStr">
        <is>
          <t>Lyft</t>
        </is>
      </c>
      <c r="G34" s="17" t="inlineStr"/>
      <c r="H34" s="1" t="n"/>
      <c r="I34" s="1" t="n"/>
      <c r="J34" s="41" t="n"/>
      <c r="K34" s="42" t="n"/>
      <c r="L34" s="24" t="n"/>
      <c r="M34" s="43" t="n"/>
      <c r="N34" s="4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>
      <c r="A35" s="1" t="n"/>
      <c r="B35" s="40" t="n">
        <v>46091</v>
      </c>
      <c r="C35" s="19" t="inlineStr">
        <is>
          <t>Gasto</t>
        </is>
      </c>
      <c r="D35" s="18" t="n">
        <v>50</v>
      </c>
      <c r="E35" s="17" t="inlineStr">
        <is>
          <t>Salida familiar</t>
        </is>
      </c>
      <c r="F35" s="17" t="inlineStr"/>
      <c r="G35" s="17" t="inlineStr">
        <is>
          <t>Personal</t>
        </is>
      </c>
      <c r="H35" s="1" t="n"/>
      <c r="I35" s="1" t="n"/>
      <c r="J35" s="41" t="n"/>
      <c r="K35" s="42" t="n"/>
      <c r="L35" s="24" t="n"/>
      <c r="M35" s="43" t="n"/>
      <c r="N35" s="4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>
      <c r="A36" s="1" t="n"/>
      <c r="B36" s="40" t="n">
        <v>46092</v>
      </c>
      <c r="C36" s="19" t="inlineStr">
        <is>
          <t>Gasto</t>
        </is>
      </c>
      <c r="D36" s="18" t="n">
        <v>34</v>
      </c>
      <c r="E36" s="17" t="inlineStr">
        <is>
          <t>Gasolina</t>
        </is>
      </c>
      <c r="F36" s="17" t="inlineStr"/>
      <c r="G36" s="17" t="inlineStr">
        <is>
          <t>Gasolina</t>
        </is>
      </c>
      <c r="H36" s="1" t="n"/>
      <c r="I36" s="1" t="n"/>
      <c r="J36" s="41" t="n"/>
      <c r="K36" s="42" t="n"/>
      <c r="L36" s="24" t="n"/>
      <c r="M36" s="43" t="n"/>
      <c r="N36" s="4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>
      <c r="A37" s="1" t="n"/>
      <c r="B37" s="40" t="n">
        <v>46092</v>
      </c>
      <c r="C37" s="19" t="inlineStr">
        <is>
          <t>Gasto</t>
        </is>
      </c>
      <c r="D37" s="18" t="n">
        <v>61</v>
      </c>
      <c r="E37" s="17" t="inlineStr">
        <is>
          <t>Comida en ruta</t>
        </is>
      </c>
      <c r="F37" s="17" t="inlineStr"/>
      <c r="G37" s="17" t="inlineStr">
        <is>
          <t>Comida</t>
        </is>
      </c>
      <c r="H37" s="1" t="n"/>
      <c r="I37" s="1" t="n"/>
      <c r="J37" s="41" t="n"/>
      <c r="K37" s="42" t="n"/>
      <c r="L37" s="24" t="n"/>
      <c r="M37" s="43" t="n"/>
      <c r="N37" s="4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>
      <c r="A38" s="1" t="n"/>
      <c r="B38" s="40" t="n">
        <v>46092</v>
      </c>
      <c r="C38" s="19" t="inlineStr">
        <is>
          <t>Ingreso</t>
        </is>
      </c>
      <c r="D38" s="18" t="n">
        <v>131</v>
      </c>
      <c r="E38" s="17" t="inlineStr">
        <is>
          <t>Turno de la noche</t>
        </is>
      </c>
      <c r="F38" s="17" t="inlineStr">
        <is>
          <t>Uber</t>
        </is>
      </c>
      <c r="G38" s="17" t="inlineStr"/>
      <c r="H38" s="1" t="n"/>
      <c r="I38" s="1" t="n"/>
      <c r="J38" s="41" t="n"/>
      <c r="K38" s="42" t="n"/>
      <c r="L38" s="24" t="n"/>
      <c r="M38" s="43" t="n"/>
      <c r="N38" s="4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>
      <c r="A39" s="1" t="n"/>
      <c r="B39" s="40" t="n">
        <v>46093</v>
      </c>
      <c r="C39" s="19" t="inlineStr">
        <is>
          <t>Gasto</t>
        </is>
      </c>
      <c r="D39" s="18" t="n">
        <v>29</v>
      </c>
      <c r="E39" s="17" t="inlineStr">
        <is>
          <t>Gasolina</t>
        </is>
      </c>
      <c r="F39" s="17" t="inlineStr"/>
      <c r="G39" s="17" t="inlineStr">
        <is>
          <t>Gasolina</t>
        </is>
      </c>
      <c r="H39" s="1" t="n"/>
      <c r="I39" s="1" t="n"/>
      <c r="J39" s="41" t="n"/>
      <c r="K39" s="42" t="n"/>
      <c r="L39" s="24" t="n"/>
      <c r="M39" s="43" t="n"/>
      <c r="N39" s="4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>
      <c r="A40" s="1" t="n"/>
      <c r="B40" s="40" t="n">
        <v>46093</v>
      </c>
      <c r="C40" s="19" t="inlineStr">
        <is>
          <t>Gasto</t>
        </is>
      </c>
      <c r="D40" s="18" t="n">
        <v>85</v>
      </c>
      <c r="E40" s="17" t="inlineStr">
        <is>
          <t>Luz</t>
        </is>
      </c>
      <c r="F40" s="17" t="inlineStr"/>
      <c r="G40" s="17" t="inlineStr">
        <is>
          <t>Pago fijo</t>
        </is>
      </c>
      <c r="H40" s="1" t="n"/>
      <c r="I40" s="1" t="n"/>
      <c r="J40" s="41" t="n"/>
      <c r="K40" s="42" t="n"/>
      <c r="L40" s="24" t="n"/>
      <c r="M40" s="43" t="n"/>
      <c r="N40" s="4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>
      <c r="A41" s="1" t="n"/>
      <c r="B41" s="40" t="n">
        <v>46093</v>
      </c>
      <c r="C41" s="19" t="inlineStr">
        <is>
          <t>Gasto</t>
        </is>
      </c>
      <c r="D41" s="18" t="n">
        <v>75</v>
      </c>
      <c r="E41" s="17" t="inlineStr">
        <is>
          <t>Visa (mínimo)</t>
        </is>
      </c>
      <c r="F41" s="17" t="inlineStr"/>
      <c r="G41" s="17" t="inlineStr">
        <is>
          <t>Pago de tarjeta de crédito</t>
        </is>
      </c>
      <c r="H41" s="1" t="n"/>
      <c r="I41" s="1" t="n"/>
      <c r="J41" s="41" t="n"/>
      <c r="K41" s="42" t="n"/>
      <c r="L41" s="24" t="n"/>
      <c r="M41" s="43" t="n"/>
      <c r="N41" s="4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>
      <c r="A42" s="1" t="n"/>
      <c r="B42" s="40" t="n">
        <v>46093</v>
      </c>
      <c r="C42" s="19" t="inlineStr">
        <is>
          <t>Ingreso</t>
        </is>
      </c>
      <c r="D42" s="18" t="n">
        <v>90</v>
      </c>
      <c r="E42" s="17" t="inlineStr">
        <is>
          <t>Medio turno</t>
        </is>
      </c>
      <c r="F42" s="17" t="inlineStr">
        <is>
          <t>Instacart</t>
        </is>
      </c>
      <c r="G42" s="17" t="inlineStr"/>
      <c r="H42" s="1" t="n"/>
      <c r="I42" s="1" t="n"/>
      <c r="J42" s="41" t="n"/>
      <c r="K42" s="42" t="n"/>
      <c r="L42" s="24" t="n"/>
      <c r="M42" s="43" t="n"/>
      <c r="N42" s="4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>
      <c r="A43" s="1" t="n"/>
      <c r="B43" s="40" t="n">
        <v>46094</v>
      </c>
      <c r="C43" s="19" t="inlineStr">
        <is>
          <t>Gasto</t>
        </is>
      </c>
      <c r="D43" s="18" t="n">
        <v>185</v>
      </c>
      <c r="E43" s="17" t="inlineStr">
        <is>
          <t>Llanta nueva</t>
        </is>
      </c>
      <c r="F43" s="17" t="inlineStr"/>
      <c r="G43" s="17" t="inlineStr">
        <is>
          <t>Mantenimiento</t>
        </is>
      </c>
      <c r="H43" s="1" t="n"/>
      <c r="I43" s="1" t="n"/>
      <c r="J43" s="41" t="n"/>
      <c r="K43" s="42" t="n"/>
      <c r="L43" s="24" t="n"/>
      <c r="M43" s="43" t="n"/>
      <c r="N43" s="4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>
      <c r="A44" s="1" t="n"/>
      <c r="B44" s="40" t="n">
        <v>46095</v>
      </c>
      <c r="C44" s="19" t="inlineStr">
        <is>
          <t>Gasto</t>
        </is>
      </c>
      <c r="D44" s="18" t="n">
        <v>40</v>
      </c>
      <c r="E44" s="17" t="inlineStr">
        <is>
          <t>Gasolina</t>
        </is>
      </c>
      <c r="F44" s="17" t="inlineStr"/>
      <c r="G44" s="17" t="inlineStr">
        <is>
          <t>Gasolina</t>
        </is>
      </c>
      <c r="H44" s="1" t="n"/>
      <c r="I44" s="1" t="n"/>
      <c r="J44" s="41" t="n"/>
      <c r="K44" s="42" t="n"/>
      <c r="L44" s="24" t="n"/>
      <c r="M44" s="43" t="n"/>
      <c r="N44" s="4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>
      <c r="A45" s="1" t="n"/>
      <c r="B45" s="40" t="n">
        <v>46095</v>
      </c>
      <c r="C45" s="19" t="inlineStr">
        <is>
          <t>Gasto</t>
        </is>
      </c>
      <c r="D45" s="18" t="n">
        <v>84</v>
      </c>
      <c r="E45" s="17" t="inlineStr">
        <is>
          <t>Comida en ruta</t>
        </is>
      </c>
      <c r="F45" s="17" t="inlineStr"/>
      <c r="G45" s="17" t="inlineStr">
        <is>
          <t>Comida</t>
        </is>
      </c>
      <c r="H45" s="1" t="n"/>
      <c r="I45" s="1" t="n"/>
      <c r="J45" s="41" t="n"/>
      <c r="K45" s="42" t="n"/>
      <c r="L45" s="24" t="n"/>
      <c r="M45" s="43" t="n"/>
      <c r="N45" s="4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>
      <c r="A46" s="1" t="n"/>
      <c r="B46" s="40" t="n">
        <v>46095</v>
      </c>
      <c r="C46" s="19" t="inlineStr">
        <is>
          <t>Ingreso</t>
        </is>
      </c>
      <c r="D46" s="18" t="n">
        <v>176</v>
      </c>
      <c r="E46" s="17" t="inlineStr">
        <is>
          <t>Sábado completo</t>
        </is>
      </c>
      <c r="F46" s="17" t="inlineStr">
        <is>
          <t>Uber</t>
        </is>
      </c>
      <c r="G46" s="17" t="inlineStr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30" customHeight="1">
      <c r="A47" s="1" t="n"/>
      <c r="B47" s="40" t="n">
        <v>46096</v>
      </c>
      <c r="C47" s="19" t="inlineStr">
        <is>
          <t>Ingreso</t>
        </is>
      </c>
      <c r="D47" s="18" t="n">
        <v>98</v>
      </c>
      <c r="E47" s="17" t="inlineStr">
        <is>
          <t>Domingo tranquilo</t>
        </is>
      </c>
      <c r="F47" s="17" t="inlineStr">
        <is>
          <t>DoorDash</t>
        </is>
      </c>
      <c r="G47" s="17" t="inlineStr"/>
      <c r="H47" s="1" t="n"/>
      <c r="I47" s="1" t="n"/>
      <c r="J47" s="12" t="inlineStr">
        <is>
          <t>En la plantilla real esto es una casilla: al marcarla, el gasto se registra solo.</t>
        </is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>
      <c r="A48" s="1" t="n"/>
      <c r="B48" s="40" t="n">
        <v>46097</v>
      </c>
      <c r="C48" s="19" t="inlineStr">
        <is>
          <t>Gasto</t>
        </is>
      </c>
      <c r="D48" s="18" t="n">
        <v>73</v>
      </c>
      <c r="E48" s="17" t="inlineStr">
        <is>
          <t>Gasolina</t>
        </is>
      </c>
      <c r="F48" s="17" t="inlineStr"/>
      <c r="G48" s="17" t="inlineStr">
        <is>
          <t>Gasolina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  <row r="49">
      <c r="A49" s="1" t="n"/>
      <c r="B49" s="40" t="n">
        <v>46097</v>
      </c>
      <c r="C49" s="19" t="inlineStr">
        <is>
          <t>Gasto</t>
        </is>
      </c>
      <c r="D49" s="18" t="n">
        <v>80</v>
      </c>
      <c r="E49" s="17" t="inlineStr">
        <is>
          <t>Comida en ruta</t>
        </is>
      </c>
      <c r="F49" s="17" t="inlineStr"/>
      <c r="G49" s="17" t="inlineStr">
        <is>
          <t>Comida</t>
        </is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</row>
    <row r="50">
      <c r="A50" s="1" t="n"/>
      <c r="B50" s="40" t="n">
        <v>46097</v>
      </c>
      <c r="C50" s="19" t="inlineStr">
        <is>
          <t>Ingreso</t>
        </is>
      </c>
      <c r="D50" s="18" t="n">
        <v>87</v>
      </c>
      <c r="E50" s="17" t="inlineStr">
        <is>
          <t>Turno corto</t>
        </is>
      </c>
      <c r="F50" s="17" t="inlineStr">
        <is>
          <t>Lyft</t>
        </is>
      </c>
      <c r="G50" s="17" t="inlineStr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</row>
    <row r="51">
      <c r="A51" s="1" t="n"/>
      <c r="B51" s="40" t="n"/>
      <c r="C51" s="19" t="n"/>
      <c r="D51" s="18" t="n"/>
      <c r="E51" s="17" t="n"/>
      <c r="F51" s="17" t="n"/>
      <c r="G51" s="1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</row>
    <row r="52">
      <c r="A52" s="1" t="n"/>
      <c r="B52" s="40" t="n"/>
      <c r="C52" s="19" t="n"/>
      <c r="D52" s="18" t="n"/>
      <c r="E52" s="17" t="n"/>
      <c r="F52" s="17" t="n"/>
      <c r="G52" s="17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</row>
    <row r="53">
      <c r="A53" s="1" t="n"/>
      <c r="B53" s="40" t="n"/>
      <c r="C53" s="19" t="n"/>
      <c r="D53" s="18" t="n"/>
      <c r="E53" s="17" t="n"/>
      <c r="F53" s="17" t="n"/>
      <c r="G53" s="17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</row>
    <row r="54">
      <c r="A54" s="1" t="n"/>
      <c r="B54" s="40" t="n"/>
      <c r="C54" s="19" t="n"/>
      <c r="D54" s="18" t="n"/>
      <c r="E54" s="17" t="n"/>
      <c r="F54" s="17" t="n"/>
      <c r="G54" s="17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</row>
    <row r="55">
      <c r="A55" s="1" t="n"/>
      <c r="B55" s="40" t="n"/>
      <c r="C55" s="19" t="n"/>
      <c r="D55" s="18" t="n"/>
      <c r="E55" s="17" t="n"/>
      <c r="F55" s="17" t="n"/>
      <c r="G55" s="17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</row>
    <row r="56">
      <c r="A56" s="1" t="n"/>
      <c r="B56" s="40" t="n"/>
      <c r="C56" s="19" t="n"/>
      <c r="D56" s="18" t="n"/>
      <c r="E56" s="17" t="n"/>
      <c r="F56" s="17" t="n"/>
      <c r="G56" s="17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</row>
    <row r="57">
      <c r="A57" s="1" t="n"/>
      <c r="B57" s="40" t="n"/>
      <c r="C57" s="19" t="n"/>
      <c r="D57" s="18" t="n"/>
      <c r="E57" s="17" t="n"/>
      <c r="F57" s="17" t="n"/>
      <c r="G57" s="17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</row>
    <row r="58">
      <c r="A58" s="1" t="n"/>
      <c r="B58" s="40" t="n"/>
      <c r="C58" s="19" t="n"/>
      <c r="D58" s="18" t="n"/>
      <c r="E58" s="17" t="n"/>
      <c r="F58" s="17" t="n"/>
      <c r="G58" s="17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</row>
    <row r="59">
      <c r="A59" s="1" t="n"/>
      <c r="B59" s="40" t="n"/>
      <c r="C59" s="19" t="n"/>
      <c r="D59" s="18" t="n"/>
      <c r="E59" s="17" t="n"/>
      <c r="F59" s="17" t="n"/>
      <c r="G59" s="17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</row>
    <row r="60">
      <c r="A60" s="1" t="n"/>
      <c r="B60" s="40" t="n"/>
      <c r="C60" s="19" t="n"/>
      <c r="D60" s="18" t="n"/>
      <c r="E60" s="17" t="n"/>
      <c r="F60" s="17" t="n"/>
      <c r="G60" s="17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</row>
    <row r="61">
      <c r="A61" s="1" t="n"/>
      <c r="B61" s="40" t="n"/>
      <c r="C61" s="19" t="n"/>
      <c r="D61" s="18" t="n"/>
      <c r="E61" s="17" t="n"/>
      <c r="F61" s="17" t="n"/>
      <c r="G61" s="17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</row>
    <row r="62">
      <c r="A62" s="1" t="n"/>
      <c r="B62" s="40" t="n"/>
      <c r="C62" s="19" t="n"/>
      <c r="D62" s="18" t="n"/>
      <c r="E62" s="17" t="n"/>
      <c r="F62" s="17" t="n"/>
      <c r="G62" s="17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</row>
    <row r="63">
      <c r="A63" s="1" t="n"/>
      <c r="B63" s="40" t="n"/>
      <c r="C63" s="19" t="n"/>
      <c r="D63" s="18" t="n"/>
      <c r="E63" s="17" t="n"/>
      <c r="F63" s="17" t="n"/>
      <c r="G63" s="17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</row>
    <row r="64">
      <c r="A64" s="1" t="n"/>
      <c r="B64" s="40" t="n"/>
      <c r="C64" s="19" t="n"/>
      <c r="D64" s="18" t="n"/>
      <c r="E64" s="17" t="n"/>
      <c r="F64" s="17" t="n"/>
      <c r="G64" s="17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</row>
    <row r="65">
      <c r="A65" s="1" t="n"/>
      <c r="B65" s="40" t="n"/>
      <c r="C65" s="19" t="n"/>
      <c r="D65" s="18" t="n"/>
      <c r="E65" s="17" t="n"/>
      <c r="F65" s="17" t="n"/>
      <c r="G65" s="17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</row>
    <row r="66">
      <c r="A66" s="1" t="n"/>
      <c r="B66" s="40" t="n"/>
      <c r="C66" s="19" t="n"/>
      <c r="D66" s="18" t="n"/>
      <c r="E66" s="17" t="n"/>
      <c r="F66" s="17" t="n"/>
      <c r="G66" s="17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</row>
    <row r="67">
      <c r="A67" s="1" t="n"/>
      <c r="B67" s="40" t="n"/>
      <c r="C67" s="19" t="n"/>
      <c r="D67" s="18" t="n"/>
      <c r="E67" s="17" t="n"/>
      <c r="F67" s="17" t="n"/>
      <c r="G67" s="17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</row>
    <row r="68">
      <c r="A68" s="1" t="n"/>
      <c r="B68" s="40" t="n"/>
      <c r="C68" s="19" t="n"/>
      <c r="D68" s="18" t="n"/>
      <c r="E68" s="17" t="n"/>
      <c r="F68" s="17" t="n"/>
      <c r="G68" s="17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</row>
    <row r="69">
      <c r="A69" s="1" t="n"/>
      <c r="B69" s="40" t="n"/>
      <c r="C69" s="19" t="n"/>
      <c r="D69" s="18" t="n"/>
      <c r="E69" s="17" t="n"/>
      <c r="F69" s="17" t="n"/>
      <c r="G69" s="1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</row>
    <row r="70">
      <c r="A70" s="1" t="n"/>
      <c r="B70" s="40" t="n"/>
      <c r="C70" s="19" t="n"/>
      <c r="D70" s="18" t="n"/>
      <c r="E70" s="17" t="n"/>
      <c r="F70" s="17" t="n"/>
      <c r="G70" s="17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</row>
    <row r="71">
      <c r="A71" s="1" t="n"/>
      <c r="B71" s="40" t="n"/>
      <c r="C71" s="19" t="n"/>
      <c r="D71" s="18" t="n"/>
      <c r="E71" s="17" t="n"/>
      <c r="F71" s="17" t="n"/>
      <c r="G71" s="17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</row>
    <row r="72">
      <c r="A72" s="1" t="n"/>
      <c r="B72" s="40" t="n"/>
      <c r="C72" s="19" t="n"/>
      <c r="D72" s="18" t="n"/>
      <c r="E72" s="17" t="n"/>
      <c r="F72" s="17" t="n"/>
      <c r="G72" s="17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</row>
    <row r="73">
      <c r="A73" s="1" t="n"/>
      <c r="B73" s="40" t="n"/>
      <c r="C73" s="19" t="n"/>
      <c r="D73" s="18" t="n"/>
      <c r="E73" s="17" t="n"/>
      <c r="F73" s="17" t="n"/>
      <c r="G73" s="17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</row>
    <row r="74">
      <c r="A74" s="1" t="n"/>
      <c r="B74" s="40" t="n"/>
      <c r="C74" s="19" t="n"/>
      <c r="D74" s="18" t="n"/>
      <c r="E74" s="17" t="n"/>
      <c r="F74" s="17" t="n"/>
      <c r="G74" s="17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</row>
    <row r="75">
      <c r="A75" s="1" t="n"/>
      <c r="B75" s="40" t="n"/>
      <c r="C75" s="19" t="n"/>
      <c r="D75" s="18" t="n"/>
      <c r="E75" s="17" t="n"/>
      <c r="F75" s="17" t="n"/>
      <c r="G75" s="17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</row>
    <row r="76">
      <c r="A76" s="1" t="n"/>
      <c r="B76" s="40" t="n"/>
      <c r="C76" s="19" t="n"/>
      <c r="D76" s="18" t="n"/>
      <c r="E76" s="17" t="n"/>
      <c r="F76" s="17" t="n"/>
      <c r="G76" s="17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</row>
    <row r="77">
      <c r="A77" s="1" t="n"/>
      <c r="B77" s="40" t="n"/>
      <c r="C77" s="19" t="n"/>
      <c r="D77" s="18" t="n"/>
      <c r="E77" s="17" t="n"/>
      <c r="F77" s="17" t="n"/>
      <c r="G77" s="17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</row>
    <row r="78">
      <c r="A78" s="1" t="n"/>
      <c r="B78" s="40" t="n"/>
      <c r="C78" s="19" t="n"/>
      <c r="D78" s="18" t="n"/>
      <c r="E78" s="17" t="n"/>
      <c r="F78" s="17" t="n"/>
      <c r="G78" s="17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</row>
    <row r="79">
      <c r="A79" s="1" t="n"/>
      <c r="B79" s="40" t="n"/>
      <c r="C79" s="19" t="n"/>
      <c r="D79" s="18" t="n"/>
      <c r="E79" s="17" t="n"/>
      <c r="F79" s="17" t="n"/>
      <c r="G79" s="17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</row>
    <row r="80">
      <c r="A80" s="1" t="n"/>
      <c r="B80" s="40" t="n"/>
      <c r="C80" s="19" t="n"/>
      <c r="D80" s="18" t="n"/>
      <c r="E80" s="17" t="n"/>
      <c r="F80" s="17" t="n"/>
      <c r="G80" s="17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</row>
    <row r="81">
      <c r="A81" s="1" t="n"/>
      <c r="B81" s="40" t="n"/>
      <c r="C81" s="19" t="n"/>
      <c r="D81" s="18" t="n"/>
      <c r="E81" s="17" t="n"/>
      <c r="F81" s="17" t="n"/>
      <c r="G81" s="17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</row>
    <row r="82">
      <c r="A82" s="1" t="n"/>
      <c r="B82" s="40" t="n"/>
      <c r="C82" s="19" t="n"/>
      <c r="D82" s="18" t="n"/>
      <c r="E82" s="17" t="n"/>
      <c r="F82" s="17" t="n"/>
      <c r="G82" s="17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</row>
    <row r="83">
      <c r="A83" s="1" t="n"/>
      <c r="B83" s="40" t="n"/>
      <c r="C83" s="19" t="n"/>
      <c r="D83" s="18" t="n"/>
      <c r="E83" s="17" t="n"/>
      <c r="F83" s="17" t="n"/>
      <c r="G83" s="17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</row>
    <row r="84">
      <c r="A84" s="1" t="n"/>
      <c r="B84" s="40" t="n"/>
      <c r="C84" s="19" t="n"/>
      <c r="D84" s="18" t="n"/>
      <c r="E84" s="17" t="n"/>
      <c r="F84" s="17" t="n"/>
      <c r="G84" s="17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</row>
    <row r="85">
      <c r="A85" s="1" t="n"/>
      <c r="B85" s="40" t="n"/>
      <c r="C85" s="19" t="n"/>
      <c r="D85" s="18" t="n"/>
      <c r="E85" s="17" t="n"/>
      <c r="F85" s="17" t="n"/>
      <c r="G85" s="17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</row>
    <row r="86">
      <c r="A86" s="1" t="n"/>
      <c r="B86" s="40" t="n"/>
      <c r="C86" s="19" t="n"/>
      <c r="D86" s="18" t="n"/>
      <c r="E86" s="17" t="n"/>
      <c r="F86" s="17" t="n"/>
      <c r="G86" s="17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</row>
    <row r="87">
      <c r="A87" s="1" t="n"/>
      <c r="B87" s="40" t="n"/>
      <c r="C87" s="19" t="n"/>
      <c r="D87" s="18" t="n"/>
      <c r="E87" s="17" t="n"/>
      <c r="F87" s="17" t="n"/>
      <c r="G87" s="17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</row>
    <row r="88">
      <c r="A88" s="1" t="n"/>
      <c r="B88" s="40" t="n"/>
      <c r="C88" s="19" t="n"/>
      <c r="D88" s="18" t="n"/>
      <c r="E88" s="17" t="n"/>
      <c r="F88" s="17" t="n"/>
      <c r="G88" s="17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</row>
    <row r="89">
      <c r="A89" s="1" t="n"/>
      <c r="B89" s="40" t="n"/>
      <c r="C89" s="19" t="n"/>
      <c r="D89" s="18" t="n"/>
      <c r="E89" s="17" t="n"/>
      <c r="F89" s="17" t="n"/>
      <c r="G89" s="17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</row>
    <row r="90">
      <c r="A90" s="1" t="n"/>
      <c r="B90" s="40" t="n"/>
      <c r="C90" s="19" t="n"/>
      <c r="D90" s="18" t="n"/>
      <c r="E90" s="17" t="n"/>
      <c r="F90" s="17" t="n"/>
      <c r="G90" s="17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</row>
    <row r="91">
      <c r="A91" s="1" t="n"/>
      <c r="B91" s="40" t="n"/>
      <c r="C91" s="19" t="n"/>
      <c r="D91" s="18" t="n"/>
      <c r="E91" s="17" t="n"/>
      <c r="F91" s="17" t="n"/>
      <c r="G91" s="17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</row>
    <row r="92">
      <c r="A92" s="1" t="n"/>
      <c r="B92" s="40" t="n"/>
      <c r="C92" s="19" t="n"/>
      <c r="D92" s="18" t="n"/>
      <c r="E92" s="17" t="n"/>
      <c r="F92" s="17" t="n"/>
      <c r="G92" s="17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</row>
    <row r="93">
      <c r="A93" s="1" t="n"/>
      <c r="B93" s="40" t="n"/>
      <c r="C93" s="19" t="n"/>
      <c r="D93" s="18" t="n"/>
      <c r="E93" s="17" t="n"/>
      <c r="F93" s="17" t="n"/>
      <c r="G93" s="17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</row>
    <row r="94">
      <c r="A94" s="1" t="n"/>
      <c r="B94" s="40" t="n"/>
      <c r="C94" s="19" t="n"/>
      <c r="D94" s="18" t="n"/>
      <c r="E94" s="17" t="n"/>
      <c r="F94" s="17" t="n"/>
      <c r="G94" s="17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</row>
    <row r="95">
      <c r="A95" s="1" t="n"/>
      <c r="B95" s="40" t="n"/>
      <c r="C95" s="19" t="n"/>
      <c r="D95" s="18" t="n"/>
      <c r="E95" s="17" t="n"/>
      <c r="F95" s="17" t="n"/>
      <c r="G95" s="17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</row>
    <row r="96">
      <c r="A96" s="1" t="n"/>
      <c r="B96" s="40" t="n"/>
      <c r="C96" s="19" t="n"/>
      <c r="D96" s="18" t="n"/>
      <c r="E96" s="17" t="n"/>
      <c r="F96" s="17" t="n"/>
      <c r="G96" s="17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</row>
    <row r="97">
      <c r="A97" s="1" t="n"/>
      <c r="B97" s="40" t="n"/>
      <c r="C97" s="19" t="n"/>
      <c r="D97" s="18" t="n"/>
      <c r="E97" s="17" t="n"/>
      <c r="F97" s="17" t="n"/>
      <c r="G97" s="17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</row>
    <row r="98">
      <c r="A98" s="1" t="n"/>
      <c r="B98" s="40" t="n"/>
      <c r="C98" s="19" t="n"/>
      <c r="D98" s="18" t="n"/>
      <c r="E98" s="17" t="n"/>
      <c r="F98" s="17" t="n"/>
      <c r="G98" s="17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</row>
    <row r="99">
      <c r="A99" s="1" t="n"/>
      <c r="B99" s="40" t="n"/>
      <c r="C99" s="19" t="n"/>
      <c r="D99" s="18" t="n"/>
      <c r="E99" s="17" t="n"/>
      <c r="F99" s="17" t="n"/>
      <c r="G99" s="17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</row>
    <row r="100">
      <c r="A100" s="1" t="n"/>
      <c r="B100" s="40" t="n"/>
      <c r="C100" s="19" t="n"/>
      <c r="D100" s="18" t="n"/>
      <c r="E100" s="17" t="n"/>
      <c r="F100" s="17" t="n"/>
      <c r="G100" s="17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</row>
    <row r="101">
      <c r="A101" s="1" t="n"/>
      <c r="B101" s="40" t="n"/>
      <c r="C101" s="19" t="n"/>
      <c r="D101" s="18" t="n"/>
      <c r="E101" s="17" t="n"/>
      <c r="F101" s="17" t="n"/>
      <c r="G101" s="17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</row>
    <row r="102">
      <c r="A102" s="1" t="n"/>
      <c r="B102" s="40" t="n"/>
      <c r="C102" s="19" t="n"/>
      <c r="D102" s="18" t="n"/>
      <c r="E102" s="17" t="n"/>
      <c r="F102" s="17" t="n"/>
      <c r="G102" s="17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</row>
    <row r="103">
      <c r="A103" s="1" t="n"/>
      <c r="B103" s="40" t="n"/>
      <c r="C103" s="19" t="n"/>
      <c r="D103" s="18" t="n"/>
      <c r="E103" s="17" t="n"/>
      <c r="F103" s="17" t="n"/>
      <c r="G103" s="17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</row>
    <row r="104">
      <c r="A104" s="1" t="n"/>
      <c r="B104" s="40" t="n"/>
      <c r="C104" s="19" t="n"/>
      <c r="D104" s="18" t="n"/>
      <c r="E104" s="17" t="n"/>
      <c r="F104" s="17" t="n"/>
      <c r="G104" s="17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</row>
    <row r="105">
      <c r="A105" s="1" t="n"/>
      <c r="B105" s="40" t="n"/>
      <c r="C105" s="19" t="n"/>
      <c r="D105" s="18" t="n"/>
      <c r="E105" s="17" t="n"/>
      <c r="F105" s="17" t="n"/>
      <c r="G105" s="17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</row>
    <row r="106">
      <c r="A106" s="1" t="n"/>
      <c r="B106" s="40" t="n"/>
      <c r="C106" s="19" t="n"/>
      <c r="D106" s="18" t="n"/>
      <c r="E106" s="17" t="n"/>
      <c r="F106" s="17" t="n"/>
      <c r="G106" s="17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</row>
    <row r="107">
      <c r="A107" s="1" t="n"/>
      <c r="B107" s="40" t="n"/>
      <c r="C107" s="19" t="n"/>
      <c r="D107" s="18" t="n"/>
      <c r="E107" s="17" t="n"/>
      <c r="F107" s="17" t="n"/>
      <c r="G107" s="17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</row>
    <row r="108">
      <c r="A108" s="1" t="n"/>
      <c r="B108" s="40" t="n"/>
      <c r="C108" s="19" t="n"/>
      <c r="D108" s="18" t="n"/>
      <c r="E108" s="17" t="n"/>
      <c r="F108" s="17" t="n"/>
      <c r="G108" s="17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</row>
    <row r="109">
      <c r="A109" s="1" t="n"/>
      <c r="B109" s="40" t="n"/>
      <c r="C109" s="19" t="n"/>
      <c r="D109" s="18" t="n"/>
      <c r="E109" s="17" t="n"/>
      <c r="F109" s="17" t="n"/>
      <c r="G109" s="17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</row>
    <row r="110">
      <c r="A110" s="1" t="n"/>
      <c r="B110" s="40" t="n"/>
      <c r="C110" s="19" t="n"/>
      <c r="D110" s="18" t="n"/>
      <c r="E110" s="17" t="n"/>
      <c r="F110" s="17" t="n"/>
      <c r="G110" s="17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</row>
    <row r="111">
      <c r="A111" s="1" t="n"/>
      <c r="B111" s="40" t="n"/>
      <c r="C111" s="19" t="n"/>
      <c r="D111" s="18" t="n"/>
      <c r="E111" s="17" t="n"/>
      <c r="F111" s="17" t="n"/>
      <c r="G111" s="17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</row>
    <row r="112">
      <c r="A112" s="1" t="n"/>
      <c r="B112" s="40" t="n"/>
      <c r="C112" s="19" t="n"/>
      <c r="D112" s="18" t="n"/>
      <c r="E112" s="17" t="n"/>
      <c r="F112" s="17" t="n"/>
      <c r="G112" s="17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</row>
    <row r="113">
      <c r="A113" s="1" t="n"/>
      <c r="B113" s="40" t="n"/>
      <c r="C113" s="19" t="n"/>
      <c r="D113" s="18" t="n"/>
      <c r="E113" s="17" t="n"/>
      <c r="F113" s="17" t="n"/>
      <c r="G113" s="17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</row>
    <row r="114">
      <c r="A114" s="1" t="n"/>
      <c r="B114" s="40" t="n"/>
      <c r="C114" s="19" t="n"/>
      <c r="D114" s="18" t="n"/>
      <c r="E114" s="17" t="n"/>
      <c r="F114" s="17" t="n"/>
      <c r="G114" s="17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</row>
    <row r="115">
      <c r="A115" s="1" t="n"/>
      <c r="B115" s="40" t="n"/>
      <c r="C115" s="19" t="n"/>
      <c r="D115" s="18" t="n"/>
      <c r="E115" s="17" t="n"/>
      <c r="F115" s="17" t="n"/>
      <c r="G115" s="17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</row>
    <row r="116">
      <c r="A116" s="1" t="n"/>
      <c r="B116" s="40" t="n"/>
      <c r="C116" s="19" t="n"/>
      <c r="D116" s="18" t="n"/>
      <c r="E116" s="17" t="n"/>
      <c r="F116" s="17" t="n"/>
      <c r="G116" s="17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</row>
    <row r="117">
      <c r="A117" s="1" t="n"/>
      <c r="B117" s="40" t="n"/>
      <c r="C117" s="19" t="n"/>
      <c r="D117" s="18" t="n"/>
      <c r="E117" s="17" t="n"/>
      <c r="F117" s="17" t="n"/>
      <c r="G117" s="17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</row>
    <row r="118">
      <c r="A118" s="1" t="n"/>
      <c r="B118" s="40" t="n"/>
      <c r="C118" s="19" t="n"/>
      <c r="D118" s="18" t="n"/>
      <c r="E118" s="17" t="n"/>
      <c r="F118" s="17" t="n"/>
      <c r="G118" s="17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</row>
    <row r="119">
      <c r="A119" s="1" t="n"/>
      <c r="B119" s="40" t="n"/>
      <c r="C119" s="19" t="n"/>
      <c r="D119" s="18" t="n"/>
      <c r="E119" s="17" t="n"/>
      <c r="F119" s="17" t="n"/>
      <c r="G119" s="17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</row>
    <row r="120">
      <c r="A120" s="1" t="n"/>
      <c r="B120" s="40" t="n"/>
      <c r="C120" s="19" t="n"/>
      <c r="D120" s="18" t="n"/>
      <c r="E120" s="17" t="n"/>
      <c r="F120" s="17" t="n"/>
      <c r="G120" s="17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</row>
  </sheetData>
  <mergeCells count="31">
    <mergeCell ref="B9:E9"/>
    <mergeCell ref="P28:V28"/>
    <mergeCell ref="F9:I9"/>
    <mergeCell ref="B11:V11"/>
    <mergeCell ref="N9:Q9"/>
    <mergeCell ref="B6:E6"/>
    <mergeCell ref="J14:N14"/>
    <mergeCell ref="B5:E5"/>
    <mergeCell ref="N6:Q6"/>
    <mergeCell ref="X32:AB32"/>
    <mergeCell ref="R9:U9"/>
    <mergeCell ref="P14:V14"/>
    <mergeCell ref="R5:U5"/>
    <mergeCell ref="R8:U8"/>
    <mergeCell ref="J8:M8"/>
    <mergeCell ref="J5:M5"/>
    <mergeCell ref="F6:I6"/>
    <mergeCell ref="J9:M9"/>
    <mergeCell ref="X14:AB14"/>
    <mergeCell ref="B2:H2"/>
    <mergeCell ref="J6:M6"/>
    <mergeCell ref="F5:I5"/>
    <mergeCell ref="R6:U6"/>
    <mergeCell ref="P2:V2"/>
    <mergeCell ref="B4:V4"/>
    <mergeCell ref="J47:N47"/>
    <mergeCell ref="B14:H14"/>
    <mergeCell ref="N5:Q5"/>
    <mergeCell ref="B8:E8"/>
    <mergeCell ref="N8:Q8"/>
    <mergeCell ref="F8:I8"/>
  </mergeCells>
  <conditionalFormatting sqref="K16:N45">
    <cfRule type="expression" priority="1" dxfId="0">
      <formula>$J16="✔"</formula>
    </cfRule>
    <cfRule type="expression" priority="2" dxfId="1">
      <formula>AND($K16&lt;&gt;"",$J16="",$M16&lt;17)</formula>
    </cfRule>
  </conditionalFormatting>
  <conditionalFormatting sqref="AA16:AB30">
    <cfRule type="expression" priority="3" dxfId="2">
      <formula>AND($X16&lt;&gt;"",$AA16&lt;80)</formula>
    </cfRule>
    <cfRule type="expression" priority="4" dxfId="3">
      <formula>AND($X16&lt;&gt;"",$AA16&gt;=80,$AA16&lt;100)</formula>
    </cfRule>
    <cfRule type="expression" priority="5" dxfId="1">
      <formula>AND($X16&lt;&gt;"",$AA16&gt;=100)</formula>
    </cfRule>
  </conditionalFormatting>
  <dataValidations count="3">
    <dataValidation sqref="C16:C120" showDropDown="0" showInputMessage="0" showErrorMessage="0" allowBlank="1" type="list">
      <formula1>"Ingreso,Gasto"</formula1>
    </dataValidation>
    <dataValidation sqref="F16:F120" showDropDown="0" showInputMessage="0" showErrorMessage="0" allowBlank="1" type="list">
      <formula1>"Uber,DoorDash,Instacart,Lyft"</formula1>
    </dataValidation>
    <dataValidation sqref="G16:G120" showDropDown="0" showInputMessage="0" showErrorMessage="0" allowBlank="1" type="list">
      <formula1>"Gasolina,Comida,Mantenimiento,Personal,Pago fijo,Pago de tarjeta de crédito,Otros"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16" customWidth="1" min="4" max="4"/>
    <col width="13" customWidth="1" min="5" max="5"/>
    <col width="15" customWidth="1" min="6" max="6"/>
    <col width="2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0" customHeight="1">
      <c r="A2" s="1" t="n"/>
      <c r="B2" s="13" t="inlineStr">
        <is>
          <t>💳  Plan de pago de deudas</t>
        </is>
      </c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0" t="inlineStr">
        <is>
          <t>Estrategia</t>
        </is>
      </c>
      <c r="C4" s="17" t="inlineStr">
        <is>
          <t>Bola de nieve</t>
        </is>
      </c>
      <c r="D4" s="14" t="inlineStr">
        <is>
          <t>Bola de nieve = atacas primero la tarjeta con el saldo más chico.
Avalancha = atacas primero la del interés más alto.</t>
        </is>
      </c>
      <c r="H4" s="1" t="n"/>
      <c r="I4" s="1" t="n"/>
      <c r="J4" s="1" t="n"/>
    </row>
    <row r="5">
      <c r="A5" s="1" t="n"/>
      <c r="B5" s="20" t="inlineStr">
        <is>
          <t>Pago extra mensual</t>
        </is>
      </c>
      <c r="C5" s="18" t="n">
        <v>100</v>
      </c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20" t="inlineStr">
        <is>
          <t>Meses para liquidar todo</t>
        </is>
      </c>
      <c r="C9" s="51" t="n">
        <v>20</v>
      </c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20" t="inlineStr">
        <is>
          <t>Interés total pagado</t>
        </is>
      </c>
      <c r="C10" s="52" t="n">
        <v>736.5700000000001</v>
      </c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20" t="inlineStr">
        <is>
          <t>Fecha estimada de liquidación</t>
        </is>
      </c>
      <c r="C11" s="53" t="n">
        <v>46692</v>
      </c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34" customHeight="1">
      <c r="A13" s="1" t="n"/>
      <c r="B13" s="54" t="inlineStr">
        <is>
          <t>✅ Con la estrategia «Bola de nieve» y $100.00 extra al mes, liquidas 2 tarjetas en 1 año y 8 meses.</t>
        </is>
      </c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32" customHeight="1">
      <c r="A15" s="1" t="n"/>
      <c r="B15" s="16" t="inlineStr">
        <is>
          <t>Orden</t>
        </is>
      </c>
      <c r="C15" s="16" t="inlineStr">
        <is>
          <t>Tarjeta</t>
        </is>
      </c>
      <c r="D15" s="16" t="inlineStr">
        <is>
          <t>Saldo actual</t>
        </is>
      </c>
      <c r="E15" s="16" t="inlineStr">
        <is>
          <t>APR %</t>
        </is>
      </c>
      <c r="F15" s="16" t="inlineStr">
        <is>
          <t>Pago mínimo</t>
        </is>
      </c>
      <c r="G15" s="16" t="inlineStr">
        <is>
          <t>Meses hasta liquidarla</t>
        </is>
      </c>
      <c r="H15" s="1" t="n"/>
      <c r="I15" s="1" t="n"/>
      <c r="J15" s="1" t="n"/>
    </row>
    <row r="16">
      <c r="A16" s="1" t="n"/>
      <c r="B16" s="43" t="n">
        <v>1</v>
      </c>
      <c r="C16" s="42" t="inlineStr">
        <is>
          <t>Capital One</t>
        </is>
      </c>
      <c r="D16" s="24" t="n">
        <v>850</v>
      </c>
      <c r="E16" s="55" t="n">
        <v>29.99</v>
      </c>
      <c r="F16" s="24" t="n">
        <v>35</v>
      </c>
      <c r="G16" s="43" t="inlineStr">
        <is>
          <t>7 meses</t>
        </is>
      </c>
      <c r="H16" s="1" t="n"/>
      <c r="I16" s="1" t="n"/>
      <c r="J16" s="1" t="n"/>
    </row>
    <row r="17">
      <c r="A17" s="1" t="n"/>
      <c r="B17" s="43" t="n">
        <v>2</v>
      </c>
      <c r="C17" s="42" t="inlineStr">
        <is>
          <t>Visa</t>
        </is>
      </c>
      <c r="D17" s="24" t="n">
        <v>2400</v>
      </c>
      <c r="E17" s="55" t="n">
        <v>24.99</v>
      </c>
      <c r="F17" s="24" t="n">
        <v>75</v>
      </c>
      <c r="G17" s="43" t="inlineStr">
        <is>
          <t>20 meses</t>
        </is>
      </c>
      <c r="H17" s="1" t="n"/>
      <c r="I17" s="1" t="n"/>
      <c r="J17" s="1" t="n"/>
    </row>
    <row r="18">
      <c r="A18" s="1" t="n"/>
      <c r="B18" s="43" t="n"/>
      <c r="C18" s="42" t="n"/>
      <c r="D18" s="24" t="n"/>
      <c r="E18" s="55" t="n"/>
      <c r="F18" s="24" t="n"/>
      <c r="G18" s="43" t="n"/>
      <c r="H18" s="1" t="n"/>
      <c r="I18" s="1" t="n"/>
      <c r="J18" s="1" t="n"/>
    </row>
    <row r="19">
      <c r="A19" s="1" t="n"/>
      <c r="B19" s="43" t="n"/>
      <c r="C19" s="42" t="n"/>
      <c r="D19" s="24" t="n"/>
      <c r="E19" s="55" t="n"/>
      <c r="F19" s="24" t="n"/>
      <c r="G19" s="43" t="n"/>
      <c r="H19" s="1" t="n"/>
      <c r="I19" s="1" t="n"/>
      <c r="J19" s="1" t="n"/>
    </row>
    <row r="20">
      <c r="A20" s="1" t="n"/>
      <c r="B20" s="43" t="n"/>
      <c r="C20" s="42" t="n"/>
      <c r="D20" s="24" t="n"/>
      <c r="E20" s="55" t="n"/>
      <c r="F20" s="24" t="n"/>
      <c r="G20" s="43" t="n"/>
      <c r="H20" s="1" t="n"/>
      <c r="I20" s="1" t="n"/>
      <c r="J20" s="1" t="n"/>
    </row>
    <row r="21">
      <c r="A21" s="1" t="n"/>
      <c r="B21" s="43" t="n"/>
      <c r="C21" s="42" t="n"/>
      <c r="D21" s="24" t="n"/>
      <c r="E21" s="55" t="n"/>
      <c r="F21" s="24" t="n"/>
      <c r="G21" s="43" t="n"/>
      <c r="H21" s="1" t="n"/>
      <c r="I21" s="1" t="n"/>
      <c r="J21" s="1" t="n"/>
    </row>
    <row r="22">
      <c r="A22" s="1" t="n"/>
      <c r="B22" s="43" t="n"/>
      <c r="C22" s="42" t="n"/>
      <c r="D22" s="24" t="n"/>
      <c r="E22" s="55" t="n"/>
      <c r="F22" s="24" t="n"/>
      <c r="G22" s="43" t="n"/>
      <c r="H22" s="1" t="n"/>
      <c r="I22" s="1" t="n"/>
      <c r="J22" s="1" t="n"/>
    </row>
    <row r="23">
      <c r="A23" s="1" t="n"/>
      <c r="B23" s="43" t="n"/>
      <c r="C23" s="42" t="n"/>
      <c r="D23" s="24" t="n"/>
      <c r="E23" s="55" t="n"/>
      <c r="F23" s="24" t="n"/>
      <c r="G23" s="43" t="n"/>
      <c r="H23" s="1" t="n"/>
      <c r="I23" s="1" t="n"/>
      <c r="J23" s="1" t="n"/>
    </row>
    <row r="24">
      <c r="A24" s="1" t="n"/>
      <c r="B24" s="43" t="n"/>
      <c r="C24" s="42" t="n"/>
      <c r="D24" s="24" t="n"/>
      <c r="E24" s="55" t="n"/>
      <c r="F24" s="24" t="n"/>
      <c r="G24" s="43" t="n"/>
      <c r="H24" s="1" t="n"/>
      <c r="I24" s="1" t="n"/>
      <c r="J24" s="1" t="n"/>
    </row>
    <row r="25">
      <c r="A25" s="1" t="n"/>
      <c r="B25" s="43" t="n"/>
      <c r="C25" s="42" t="n"/>
      <c r="D25" s="24" t="n"/>
      <c r="E25" s="55" t="n"/>
      <c r="F25" s="24" t="n"/>
      <c r="G25" s="43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30" customHeight="1">
      <c r="A27" s="1" t="n"/>
      <c r="B27" s="12" t="inlineStr">
        <is>
          <t>En la plantilla real un botón del menú recalcula esto con tus datos. Aquí los resultados son fijos, calculados con las tarjetas de ejemplo.</t>
        </is>
      </c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mergeCells count="4">
    <mergeCell ref="D4:G5"/>
    <mergeCell ref="B2:G2"/>
    <mergeCell ref="B27:G27"/>
    <mergeCell ref="B13:G13"/>
  </mergeCells>
  <dataValidations count="1">
    <dataValidation sqref="C4" showDropDown="0" showInputMessage="0" showErrorMessage="0" allowBlank="0" type="list">
      <formula1>"Bola de nieve,Avalancha"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2026-08-11T15:51:16Z</dcterms:created>
  <dcterms:modified xsi:type="dcterms:W3CDTF">2026-08-11T15:51:17Z</dcterms:modified>
</cp:coreProperties>
</file>